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000 PROY\"/>
    </mc:Choice>
  </mc:AlternateContent>
  <xr:revisionPtr revIDLastSave="0" documentId="13_ncr:1_{FE21B71A-CE70-4D5D-BE81-D7E46EBF3BE3}" xr6:coauthVersionLast="47" xr6:coauthVersionMax="47" xr10:uidLastSave="{00000000-0000-0000-0000-000000000000}"/>
  <bookViews>
    <workbookView xWindow="-120" yWindow="-120" windowWidth="29040" windowHeight="15840" tabRatio="783" activeTab="8" xr2:uid="{00000000-000D-0000-FFFF-FFFF00000000}"/>
  </bookViews>
  <sheets>
    <sheet name="Total Materiales" sheetId="17" r:id="rId1"/>
    <sheet name="Materiales y Materias Primas" sheetId="19" r:id="rId2"/>
    <sheet name="Hoja1" sheetId="20" r:id="rId3"/>
    <sheet name="Mano de Obra" sheetId="18" r:id="rId4"/>
    <sheet name="Muros" sheetId="3" r:id="rId5"/>
    <sheet name="Revestimientos" sheetId="4" r:id="rId6"/>
    <sheet name="Enchapes" sheetId="5" r:id="rId7"/>
    <sheet name="Cubiertas" sheetId="6" r:id="rId8"/>
    <sheet name="Pisos" sheetId="7" r:id="rId9"/>
    <sheet name="Pinturas" sheetId="8" r:id="rId10"/>
    <sheet name="Estructural" sheetId="2" r:id="rId11"/>
    <sheet name="H.Ciclopeo" sheetId="9" r:id="rId12"/>
    <sheet name="Encofrados" sheetId="16" r:id="rId13"/>
    <sheet name="Electricidad" sheetId="10" r:id="rId14"/>
    <sheet name="Baño 1er Nivel" sheetId="11" r:id="rId15"/>
    <sheet name="Baño 2do Nivel" sheetId="12" r:id="rId16"/>
    <sheet name="Cocina 1er Nivel" sheetId="13" r:id="rId17"/>
    <sheet name="Tanque Agua" sheetId="15" r:id="rId18"/>
    <sheet name="Cocina 2do Nivel" sheetId="14" r:id="rId19"/>
  </sheets>
  <definedNames>
    <definedName name="_xlnm.Print_Area" localSheetId="1">'Materiales y Materias Primas'!$A$1:$H$114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9" l="1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0" i="19"/>
  <c r="H7" i="19"/>
  <c r="E751" i="18"/>
  <c r="E750" i="18"/>
  <c r="E749" i="18"/>
  <c r="E748" i="18"/>
  <c r="E747" i="18"/>
  <c r="E746" i="18"/>
  <c r="E745" i="18"/>
  <c r="E744" i="18"/>
  <c r="E743" i="18"/>
  <c r="E742" i="18"/>
  <c r="E741" i="18"/>
  <c r="E740" i="18"/>
  <c r="E739" i="18"/>
  <c r="E737" i="18"/>
  <c r="E736" i="18"/>
  <c r="E735" i="18"/>
  <c r="E734" i="18"/>
  <c r="E733" i="18"/>
  <c r="E732" i="18"/>
  <c r="E731" i="18"/>
  <c r="E730" i="18"/>
  <c r="E729" i="18"/>
  <c r="E728" i="18"/>
  <c r="E727" i="18"/>
  <c r="E726" i="18"/>
  <c r="E725" i="18"/>
  <c r="E724" i="18"/>
  <c r="E723" i="18"/>
  <c r="E722" i="18"/>
  <c r="E721" i="18"/>
  <c r="E720" i="18"/>
  <c r="E719" i="18"/>
  <c r="E718" i="18"/>
  <c r="E717" i="18"/>
  <c r="E716" i="18"/>
  <c r="E715" i="18"/>
  <c r="E714" i="18"/>
  <c r="E713" i="18"/>
  <c r="E712" i="18"/>
  <c r="E711" i="18"/>
  <c r="E710" i="18"/>
  <c r="E709" i="18"/>
  <c r="E708" i="18"/>
  <c r="E707" i="18"/>
  <c r="E706" i="18"/>
  <c r="E705" i="18"/>
  <c r="E704" i="18"/>
  <c r="E703" i="18"/>
  <c r="E702" i="18"/>
  <c r="E701" i="18"/>
  <c r="E700" i="18"/>
  <c r="E699" i="18"/>
  <c r="E698" i="18"/>
  <c r="E675" i="18"/>
  <c r="E674" i="18"/>
  <c r="E673" i="18"/>
  <c r="E672" i="18"/>
  <c r="E671" i="18"/>
  <c r="E670" i="18"/>
  <c r="E669" i="18"/>
  <c r="E668" i="18"/>
  <c r="E667" i="18"/>
  <c r="E666" i="18"/>
  <c r="E665" i="18"/>
  <c r="E664" i="18"/>
  <c r="E663" i="18"/>
  <c r="E662" i="18"/>
  <c r="E661" i="18"/>
  <c r="E660" i="18"/>
  <c r="E659" i="18"/>
  <c r="E658" i="18"/>
  <c r="E657" i="18"/>
  <c r="E656" i="18"/>
  <c r="E655" i="18"/>
  <c r="E654" i="18"/>
  <c r="E653" i="18"/>
  <c r="E652" i="18"/>
  <c r="E651" i="18"/>
  <c r="E650" i="18"/>
  <c r="E649" i="18"/>
  <c r="E648" i="18"/>
  <c r="E647" i="18"/>
  <c r="E646" i="18"/>
  <c r="E645" i="18"/>
  <c r="E644" i="18"/>
  <c r="E643" i="18"/>
  <c r="E642" i="18"/>
  <c r="E641" i="18"/>
  <c r="E640" i="18"/>
  <c r="E639" i="18"/>
  <c r="E638" i="18"/>
  <c r="E637" i="18"/>
  <c r="E636" i="18"/>
  <c r="E635" i="18"/>
  <c r="E634" i="18"/>
  <c r="E633" i="18"/>
  <c r="E632" i="18"/>
  <c r="E631" i="18"/>
  <c r="E630" i="18"/>
  <c r="E629" i="18"/>
  <c r="E628" i="18"/>
  <c r="E627" i="18"/>
  <c r="E626" i="18"/>
  <c r="E625" i="18"/>
  <c r="E624" i="18"/>
  <c r="E623" i="18"/>
  <c r="E622" i="18"/>
  <c r="E621" i="18"/>
  <c r="E620" i="18"/>
  <c r="E619" i="18"/>
  <c r="E618" i="18"/>
  <c r="E617" i="18"/>
  <c r="E616" i="18"/>
  <c r="E615" i="18"/>
  <c r="E614" i="18"/>
  <c r="E613" i="18"/>
  <c r="E612" i="18"/>
  <c r="E611" i="18"/>
  <c r="E610" i="18"/>
  <c r="E609" i="18"/>
  <c r="E608" i="18"/>
  <c r="E607" i="18"/>
  <c r="E606" i="18"/>
  <c r="E605" i="18"/>
  <c r="E602" i="18"/>
  <c r="E601" i="18"/>
  <c r="E600" i="18"/>
  <c r="E599" i="18"/>
  <c r="E598" i="18"/>
  <c r="E597" i="18"/>
  <c r="E596" i="18"/>
  <c r="E595" i="18"/>
  <c r="E594" i="18"/>
  <c r="E593" i="18"/>
  <c r="E592" i="18"/>
  <c r="E591" i="18"/>
  <c r="E590" i="18"/>
  <c r="E589" i="18"/>
  <c r="E588" i="18"/>
  <c r="E587" i="18"/>
  <c r="E586" i="18"/>
  <c r="E585" i="18"/>
  <c r="E584" i="18"/>
  <c r="E583" i="18"/>
  <c r="E582" i="18"/>
  <c r="E581" i="18"/>
  <c r="E580" i="18"/>
  <c r="E579" i="18"/>
  <c r="E578" i="18"/>
  <c r="E577" i="18"/>
  <c r="E576" i="18"/>
  <c r="E575" i="18"/>
  <c r="E574" i="18"/>
  <c r="E573" i="18"/>
  <c r="E572" i="18"/>
  <c r="E571" i="18"/>
  <c r="E570" i="18"/>
  <c r="E569" i="18"/>
  <c r="E568" i="18"/>
  <c r="E567" i="18"/>
  <c r="E566" i="18"/>
  <c r="E565" i="18"/>
  <c r="E564" i="18"/>
  <c r="E563" i="18"/>
  <c r="E562" i="18"/>
  <c r="E561" i="18"/>
  <c r="E560" i="18"/>
  <c r="E559" i="18"/>
  <c r="E558" i="18"/>
  <c r="E557" i="18"/>
  <c r="E556" i="18"/>
  <c r="E555" i="18"/>
  <c r="E554" i="18"/>
  <c r="E553" i="18"/>
  <c r="E552" i="18"/>
  <c r="E551" i="18"/>
  <c r="E550" i="18"/>
  <c r="E549" i="18"/>
  <c r="E548" i="18"/>
  <c r="E547" i="18"/>
  <c r="E546" i="18"/>
  <c r="E545" i="18"/>
  <c r="E544" i="18"/>
  <c r="E543" i="18"/>
  <c r="E542" i="18"/>
  <c r="E541" i="18"/>
  <c r="E540" i="18"/>
  <c r="E539" i="18"/>
  <c r="E538" i="18"/>
  <c r="E537" i="18"/>
  <c r="E536" i="18"/>
  <c r="E535" i="18"/>
  <c r="E534" i="18"/>
  <c r="E533" i="18"/>
  <c r="E532" i="18"/>
  <c r="E531" i="18"/>
  <c r="E530" i="18"/>
  <c r="E529" i="18"/>
  <c r="E528" i="18"/>
  <c r="E527" i="18"/>
  <c r="E526" i="18"/>
  <c r="E525" i="18"/>
  <c r="E524" i="18"/>
  <c r="E523" i="18"/>
  <c r="E522" i="18"/>
  <c r="E521" i="18"/>
  <c r="E520" i="18"/>
  <c r="E519" i="18"/>
  <c r="E518" i="18"/>
  <c r="E517" i="18"/>
  <c r="E516" i="18"/>
  <c r="E515" i="18"/>
  <c r="E514" i="18"/>
  <c r="E513" i="18"/>
  <c r="E512" i="18"/>
  <c r="E511" i="18"/>
  <c r="E510" i="18"/>
  <c r="E509" i="18"/>
  <c r="E508" i="18"/>
  <c r="E507" i="18"/>
  <c r="E506" i="18"/>
  <c r="E505" i="18"/>
  <c r="E504" i="18"/>
  <c r="E503" i="18"/>
  <c r="E502" i="18"/>
  <c r="E501" i="18"/>
  <c r="E500" i="18"/>
  <c r="E499" i="18"/>
  <c r="E498" i="18"/>
  <c r="E497" i="18"/>
  <c r="E496" i="18"/>
  <c r="E495" i="18"/>
  <c r="E494" i="18"/>
  <c r="E493" i="18"/>
  <c r="E492" i="18"/>
  <c r="E491" i="18"/>
  <c r="E490" i="18"/>
  <c r="E489" i="18"/>
  <c r="E488" i="18"/>
  <c r="E487" i="18"/>
  <c r="E486" i="18"/>
  <c r="E485" i="18"/>
  <c r="E484" i="18"/>
  <c r="E483" i="18"/>
  <c r="E482" i="18"/>
  <c r="E481" i="18"/>
  <c r="E480" i="18"/>
  <c r="E479" i="18"/>
  <c r="E478" i="18"/>
  <c r="E477" i="18"/>
  <c r="E476" i="18"/>
  <c r="E475" i="18"/>
  <c r="E474" i="18"/>
  <c r="E473" i="18"/>
  <c r="E472" i="18"/>
  <c r="E469" i="18"/>
  <c r="E468" i="18"/>
  <c r="E467" i="18"/>
  <c r="E466" i="18"/>
  <c r="E465" i="18"/>
  <c r="E464" i="18"/>
  <c r="E463" i="18"/>
  <c r="E462" i="18"/>
  <c r="E461" i="18"/>
  <c r="E460" i="18"/>
  <c r="E459" i="18"/>
  <c r="E458" i="18"/>
  <c r="E457" i="18"/>
  <c r="E456" i="18"/>
  <c r="E455" i="18"/>
  <c r="E454" i="18"/>
  <c r="E453" i="18"/>
  <c r="E452" i="18"/>
  <c r="E451" i="18"/>
  <c r="E450" i="18"/>
  <c r="E449" i="18"/>
  <c r="E448" i="18"/>
  <c r="E447" i="18"/>
  <c r="E446" i="18"/>
  <c r="E445" i="18"/>
  <c r="E444" i="18"/>
  <c r="E443" i="18"/>
  <c r="E442" i="18"/>
  <c r="E441" i="18"/>
  <c r="E440" i="18"/>
  <c r="E439" i="18"/>
  <c r="E438" i="18"/>
  <c r="E437" i="18"/>
  <c r="E436" i="18"/>
  <c r="E435" i="18"/>
  <c r="E434" i="18"/>
  <c r="E433" i="18"/>
  <c r="E432" i="18"/>
  <c r="E431" i="18"/>
  <c r="E430" i="18"/>
  <c r="E429" i="18"/>
  <c r="E428" i="18"/>
  <c r="E425" i="18"/>
  <c r="E424" i="18"/>
  <c r="E423" i="18"/>
  <c r="E422" i="18"/>
  <c r="E421" i="18"/>
  <c r="E420" i="18"/>
  <c r="E419" i="18"/>
  <c r="E418" i="18"/>
  <c r="E417" i="18"/>
  <c r="E416" i="18"/>
  <c r="E415" i="18"/>
  <c r="E414" i="18"/>
  <c r="E413" i="18"/>
  <c r="E412" i="18"/>
  <c r="E411" i="18"/>
  <c r="E410" i="18"/>
  <c r="E409" i="18"/>
  <c r="E408" i="18"/>
  <c r="E407" i="18"/>
  <c r="E406" i="18"/>
  <c r="E405" i="18"/>
  <c r="E404" i="18"/>
  <c r="E401" i="18"/>
  <c r="E400" i="18"/>
  <c r="E399" i="18"/>
  <c r="E398" i="18"/>
  <c r="E397" i="18"/>
  <c r="E396" i="18"/>
  <c r="E395" i="18"/>
  <c r="E394" i="18"/>
  <c r="E393" i="18"/>
  <c r="E392" i="18"/>
  <c r="E391" i="18"/>
  <c r="E390" i="18"/>
  <c r="E389" i="18"/>
  <c r="E388" i="18"/>
  <c r="E387" i="18"/>
  <c r="E386" i="18"/>
  <c r="E385" i="18"/>
  <c r="E384" i="18"/>
  <c r="E383" i="18"/>
  <c r="E382" i="18"/>
  <c r="E381" i="18"/>
  <c r="E380" i="18"/>
  <c r="E379" i="18"/>
  <c r="E378" i="18"/>
  <c r="E377" i="18"/>
  <c r="E376" i="18"/>
  <c r="E375" i="18"/>
  <c r="E374" i="18"/>
  <c r="E373" i="18"/>
  <c r="E372" i="18"/>
  <c r="E371" i="18"/>
  <c r="E370" i="18"/>
  <c r="E369" i="18"/>
  <c r="E368" i="18"/>
  <c r="E367" i="18"/>
  <c r="E366" i="18"/>
  <c r="E365" i="18"/>
  <c r="E364" i="18"/>
  <c r="E363" i="18"/>
  <c r="E360" i="18"/>
  <c r="E359" i="18"/>
  <c r="E358" i="18"/>
  <c r="E357" i="18"/>
  <c r="E356" i="18"/>
  <c r="E355" i="18"/>
  <c r="E354" i="18"/>
  <c r="E353" i="18"/>
  <c r="E352" i="18"/>
  <c r="E351" i="18"/>
  <c r="E350" i="18"/>
  <c r="E349" i="18"/>
  <c r="E348" i="18"/>
  <c r="E347" i="18"/>
  <c r="E346" i="18"/>
  <c r="E345" i="18"/>
  <c r="E344" i="18"/>
  <c r="E341" i="18"/>
  <c r="E340" i="18"/>
  <c r="E339" i="18"/>
  <c r="E338" i="18"/>
  <c r="E337" i="18"/>
  <c r="E336" i="18"/>
  <c r="E335" i="18"/>
  <c r="E334" i="18"/>
  <c r="E333" i="18"/>
  <c r="E332" i="18"/>
  <c r="E331" i="18"/>
  <c r="E330" i="18"/>
  <c r="E329" i="18"/>
  <c r="E328" i="18"/>
  <c r="E327" i="18"/>
  <c r="E326" i="18"/>
  <c r="E325" i="18"/>
  <c r="E324" i="18"/>
  <c r="E323" i="18"/>
  <c r="E322" i="18"/>
  <c r="E321" i="18"/>
  <c r="E320" i="18"/>
  <c r="E319" i="18"/>
  <c r="E318" i="18"/>
  <c r="E317" i="18"/>
  <c r="E314" i="18"/>
  <c r="E313" i="18"/>
  <c r="E312" i="18"/>
  <c r="E311" i="18"/>
  <c r="E310" i="18"/>
  <c r="E309" i="18"/>
  <c r="E308" i="18"/>
  <c r="E307" i="18"/>
  <c r="E306" i="18"/>
  <c r="E305" i="18"/>
  <c r="E304" i="18"/>
  <c r="E303" i="18"/>
  <c r="E302" i="18"/>
  <c r="E301" i="18"/>
  <c r="E300" i="18"/>
  <c r="E299" i="18"/>
  <c r="E298" i="18"/>
  <c r="E297" i="18"/>
  <c r="E296" i="18"/>
  <c r="E295" i="18"/>
  <c r="E294" i="18"/>
  <c r="E293" i="18"/>
  <c r="E292" i="18"/>
  <c r="E291" i="18"/>
  <c r="E290" i="18"/>
  <c r="E289" i="18"/>
  <c r="E288" i="18"/>
  <c r="E287" i="18"/>
  <c r="E286" i="18"/>
  <c r="E285" i="18"/>
  <c r="E284" i="18"/>
  <c r="E283" i="18"/>
  <c r="E282" i="18"/>
  <c r="E281" i="18"/>
  <c r="E280" i="18"/>
  <c r="E279" i="18"/>
  <c r="E278" i="18"/>
  <c r="E277" i="18"/>
  <c r="E276" i="18"/>
  <c r="E275" i="18"/>
  <c r="E274" i="18"/>
  <c r="E273" i="18"/>
  <c r="E272" i="18"/>
  <c r="E271" i="18"/>
  <c r="E270" i="18"/>
  <c r="E269" i="18"/>
  <c r="E268" i="18"/>
  <c r="E267" i="18"/>
  <c r="E266" i="18"/>
  <c r="E265" i="18"/>
  <c r="E264" i="18"/>
  <c r="E263" i="18"/>
  <c r="E262" i="18"/>
  <c r="E261" i="18"/>
  <c r="E260" i="18"/>
  <c r="E259" i="18"/>
  <c r="E258" i="18"/>
  <c r="E257" i="18"/>
  <c r="E256" i="18"/>
  <c r="E255" i="18"/>
  <c r="E254" i="18"/>
  <c r="E253" i="18"/>
  <c r="E252" i="18"/>
  <c r="E251" i="18"/>
  <c r="E250" i="18"/>
  <c r="E249" i="18"/>
  <c r="E248" i="18"/>
  <c r="E247" i="18"/>
  <c r="E246" i="18"/>
  <c r="E245" i="18"/>
  <c r="E244" i="18"/>
  <c r="E243" i="18"/>
  <c r="E242" i="18"/>
  <c r="E241" i="18"/>
  <c r="E240" i="18"/>
  <c r="E239" i="18"/>
  <c r="E238" i="18"/>
  <c r="E237" i="18"/>
  <c r="E236" i="18"/>
  <c r="E235" i="18"/>
  <c r="E234" i="18"/>
  <c r="E231" i="18"/>
  <c r="E230" i="18"/>
  <c r="E229" i="18"/>
  <c r="E228" i="18"/>
  <c r="E227" i="18"/>
  <c r="E226" i="18"/>
  <c r="E225" i="18"/>
  <c r="E224" i="18"/>
  <c r="E223" i="18"/>
  <c r="E222" i="18"/>
  <c r="E221" i="18"/>
  <c r="E220" i="18"/>
  <c r="E219" i="18"/>
  <c r="E218" i="18"/>
  <c r="E217" i="18"/>
  <c r="E216" i="18"/>
  <c r="E215" i="18"/>
  <c r="E214" i="18"/>
  <c r="E213" i="18"/>
  <c r="E212" i="18"/>
  <c r="E211" i="18"/>
  <c r="E210" i="18"/>
  <c r="E209" i="18"/>
  <c r="E208" i="18"/>
  <c r="E207" i="18"/>
  <c r="E206" i="18"/>
  <c r="E205" i="18"/>
  <c r="E204" i="18"/>
  <c r="E203" i="18"/>
  <c r="E202" i="18"/>
  <c r="E201" i="18"/>
  <c r="E200" i="18"/>
  <c r="E199" i="18"/>
  <c r="E198" i="18"/>
  <c r="E197" i="18"/>
  <c r="E196" i="18"/>
  <c r="E195" i="18"/>
  <c r="E194" i="18"/>
  <c r="E193" i="18"/>
  <c r="E192" i="18"/>
  <c r="E191" i="18"/>
  <c r="E190" i="18"/>
  <c r="E189" i="18"/>
  <c r="E188" i="18"/>
  <c r="E185" i="18"/>
  <c r="E184" i="18"/>
  <c r="E183" i="18"/>
  <c r="E182" i="18"/>
  <c r="E181" i="18"/>
  <c r="E180" i="18"/>
  <c r="E179" i="18"/>
  <c r="E178" i="18"/>
  <c r="E177" i="18"/>
  <c r="E176" i="18"/>
  <c r="E175" i="18"/>
  <c r="E174" i="18"/>
  <c r="E173" i="18"/>
  <c r="E172" i="18"/>
  <c r="E171" i="18"/>
  <c r="E170" i="18"/>
  <c r="E169" i="18"/>
  <c r="E168" i="18"/>
  <c r="E167" i="18"/>
  <c r="E166" i="18"/>
  <c r="E165" i="18"/>
  <c r="E164" i="18"/>
  <c r="E163" i="18"/>
  <c r="E160" i="18"/>
  <c r="E159" i="18"/>
  <c r="E158" i="18"/>
  <c r="E157" i="18"/>
  <c r="E156" i="18"/>
  <c r="E155" i="18"/>
  <c r="E154" i="18"/>
  <c r="E153" i="18"/>
  <c r="E152" i="18"/>
  <c r="E151" i="18"/>
  <c r="E150" i="18"/>
  <c r="E149" i="18"/>
  <c r="E148" i="18"/>
  <c r="E147" i="18"/>
  <c r="E146" i="18"/>
  <c r="E145" i="18"/>
  <c r="E144" i="18"/>
  <c r="E143" i="18"/>
  <c r="E142" i="18"/>
  <c r="E141" i="18"/>
  <c r="E140" i="18"/>
  <c r="E139" i="18"/>
  <c r="E138" i="18"/>
  <c r="E137" i="18"/>
  <c r="E136" i="18"/>
  <c r="E135" i="18"/>
  <c r="E134" i="18"/>
  <c r="E133" i="18"/>
  <c r="E132" i="18"/>
  <c r="E131" i="18"/>
  <c r="E130" i="18"/>
  <c r="E129" i="18"/>
  <c r="E128" i="18"/>
  <c r="E127" i="18"/>
  <c r="E126" i="18"/>
  <c r="E125" i="18"/>
  <c r="E124" i="18"/>
  <c r="E123" i="18"/>
  <c r="E122" i="18"/>
  <c r="E121" i="18"/>
  <c r="E120" i="18"/>
  <c r="E119" i="18"/>
  <c r="E118" i="18"/>
  <c r="E117" i="18"/>
  <c r="E116" i="18"/>
  <c r="E115" i="18"/>
  <c r="E114" i="18"/>
  <c r="E113" i="18"/>
  <c r="E112" i="18"/>
  <c r="E111" i="18"/>
  <c r="E110" i="18"/>
  <c r="E109" i="18"/>
  <c r="E108" i="18"/>
  <c r="E107" i="18"/>
  <c r="E106" i="18"/>
  <c r="E105" i="18"/>
  <c r="E104" i="18"/>
  <c r="E103" i="18"/>
  <c r="E102" i="18"/>
  <c r="E101" i="18"/>
  <c r="E100" i="18"/>
  <c r="E99" i="18"/>
  <c r="E98" i="18"/>
  <c r="E97" i="18"/>
  <c r="E96" i="18"/>
  <c r="E95" i="18"/>
  <c r="E94" i="18"/>
  <c r="E93" i="18"/>
  <c r="E92" i="18"/>
  <c r="E91" i="18"/>
  <c r="E90" i="18"/>
  <c r="E89" i="18"/>
  <c r="E88" i="18"/>
  <c r="E85" i="18"/>
  <c r="E84" i="18"/>
  <c r="E83" i="18"/>
  <c r="E82" i="18"/>
  <c r="E81" i="18"/>
  <c r="E80" i="18"/>
  <c r="E79" i="18"/>
  <c r="E78" i="18"/>
  <c r="E77" i="18"/>
  <c r="E76" i="18"/>
  <c r="E75" i="18"/>
  <c r="E74" i="18"/>
  <c r="E73" i="18"/>
  <c r="E72" i="18"/>
  <c r="E71" i="18"/>
  <c r="E70" i="18"/>
  <c r="E69" i="18"/>
  <c r="E68" i="18"/>
  <c r="E67" i="18"/>
  <c r="E66" i="18"/>
  <c r="E65" i="18"/>
  <c r="E64" i="18"/>
  <c r="E63" i="18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E315" i="18" l="1"/>
  <c r="E342" i="18"/>
  <c r="E752" i="18"/>
  <c r="E676" i="18"/>
  <c r="E30" i="18"/>
  <c r="E186" i="18"/>
  <c r="E402" i="18"/>
  <c r="E426" i="18"/>
  <c r="E603" i="18"/>
  <c r="E361" i="18"/>
  <c r="E86" i="18"/>
  <c r="E161" i="18"/>
  <c r="E753" i="18" s="1"/>
  <c r="E232" i="18"/>
  <c r="E470" i="18"/>
  <c r="C9" i="15" l="1"/>
  <c r="E9" i="15" s="1"/>
  <c r="F9" i="15" s="1"/>
  <c r="D14" i="14"/>
  <c r="D13" i="14"/>
  <c r="D11" i="14"/>
  <c r="D10" i="14"/>
  <c r="D8" i="14"/>
  <c r="D19" i="13"/>
  <c r="D18" i="13"/>
  <c r="D16" i="13"/>
  <c r="D15" i="13"/>
  <c r="D14" i="13"/>
  <c r="D13" i="13"/>
  <c r="D11" i="13"/>
  <c r="D10" i="13"/>
  <c r="D8" i="13"/>
  <c r="D22" i="13" s="1"/>
  <c r="D7" i="13"/>
  <c r="D6" i="13"/>
  <c r="D18" i="12"/>
  <c r="D17" i="12"/>
  <c r="D16" i="12"/>
  <c r="D14" i="12"/>
  <c r="D13" i="12"/>
  <c r="D12" i="12"/>
  <c r="D11" i="12"/>
  <c r="D9" i="12"/>
  <c r="D8" i="12"/>
  <c r="D19" i="11"/>
  <c r="D18" i="11"/>
  <c r="D17" i="11"/>
  <c r="D15" i="11"/>
  <c r="D14" i="11"/>
  <c r="D21" i="11" s="1"/>
  <c r="D13" i="11"/>
  <c r="D20" i="11" s="1"/>
  <c r="D11" i="11"/>
  <c r="D10" i="11"/>
  <c r="D9" i="11"/>
  <c r="D8" i="11"/>
  <c r="E16" i="10"/>
  <c r="E15" i="10"/>
  <c r="E12" i="10"/>
  <c r="E10" i="10"/>
  <c r="E9" i="10"/>
  <c r="E8" i="10"/>
  <c r="E7" i="10"/>
  <c r="D12" i="9"/>
  <c r="E13" i="9" s="1"/>
  <c r="F11" i="19" s="1"/>
  <c r="H11" i="19" s="1"/>
  <c r="E31" i="8"/>
  <c r="E30" i="8"/>
  <c r="E29" i="8"/>
  <c r="E26" i="8"/>
  <c r="K24" i="8"/>
  <c r="G24" i="8"/>
  <c r="E21" i="8"/>
  <c r="E18" i="8"/>
  <c r="E16" i="8"/>
  <c r="I14" i="8"/>
  <c r="G13" i="8"/>
  <c r="E9" i="8"/>
  <c r="E11" i="8" s="1"/>
  <c r="E7" i="8"/>
  <c r="N31" i="7"/>
  <c r="L31" i="7"/>
  <c r="H31" i="7"/>
  <c r="F31" i="7"/>
  <c r="D31" i="7"/>
  <c r="N27" i="7"/>
  <c r="L27" i="7"/>
  <c r="H27" i="7"/>
  <c r="F27" i="7"/>
  <c r="D27" i="7"/>
  <c r="N25" i="7"/>
  <c r="J25" i="7"/>
  <c r="H25" i="7"/>
  <c r="F25" i="7"/>
  <c r="D25" i="7"/>
  <c r="N24" i="7"/>
  <c r="J24" i="7"/>
  <c r="H24" i="7"/>
  <c r="F24" i="7"/>
  <c r="D24" i="7"/>
  <c r="N21" i="7"/>
  <c r="J21" i="7"/>
  <c r="H21" i="7"/>
  <c r="F21" i="7"/>
  <c r="D21" i="7"/>
  <c r="N20" i="7"/>
  <c r="J20" i="7"/>
  <c r="H20" i="7"/>
  <c r="F20" i="7"/>
  <c r="D20" i="7"/>
  <c r="J17" i="7"/>
  <c r="H17" i="7"/>
  <c r="F17" i="7"/>
  <c r="D17" i="7"/>
  <c r="J16" i="7"/>
  <c r="J32" i="7" s="1"/>
  <c r="H16" i="7"/>
  <c r="F16" i="7"/>
  <c r="D16" i="7"/>
  <c r="H13" i="7"/>
  <c r="H32" i="7" s="1"/>
  <c r="F13" i="7"/>
  <c r="D13" i="7"/>
  <c r="N11" i="7"/>
  <c r="L11" i="7"/>
  <c r="H11" i="7"/>
  <c r="F11" i="7"/>
  <c r="D11" i="7"/>
  <c r="N10" i="7"/>
  <c r="L10" i="7"/>
  <c r="H10" i="7"/>
  <c r="F10" i="7"/>
  <c r="D10" i="7"/>
  <c r="N9" i="7"/>
  <c r="L9" i="7"/>
  <c r="H9" i="7"/>
  <c r="F9" i="7"/>
  <c r="F32" i="7" s="1"/>
  <c r="D9" i="7"/>
  <c r="E15" i="6"/>
  <c r="E14" i="6"/>
  <c r="F49" i="19" s="1"/>
  <c r="H49" i="19" s="1"/>
  <c r="E13" i="6"/>
  <c r="M10" i="6"/>
  <c r="K10" i="6"/>
  <c r="K16" i="6" s="1"/>
  <c r="G10" i="6"/>
  <c r="G16" i="6" s="1"/>
  <c r="M9" i="6"/>
  <c r="M16" i="6" s="1"/>
  <c r="I9" i="6"/>
  <c r="G9" i="6"/>
  <c r="E9" i="6"/>
  <c r="E8" i="6"/>
  <c r="I7" i="6"/>
  <c r="I16" i="6" s="1"/>
  <c r="G7" i="6"/>
  <c r="E7" i="6"/>
  <c r="K23" i="5"/>
  <c r="I23" i="5"/>
  <c r="G23" i="5"/>
  <c r="E23" i="5"/>
  <c r="M20" i="5"/>
  <c r="I20" i="5"/>
  <c r="G20" i="5"/>
  <c r="E20" i="5"/>
  <c r="M18" i="5"/>
  <c r="I18" i="5"/>
  <c r="G18" i="5"/>
  <c r="E18" i="5"/>
  <c r="M16" i="5"/>
  <c r="K16" i="5"/>
  <c r="I16" i="5"/>
  <c r="G16" i="5"/>
  <c r="E16" i="5"/>
  <c r="M13" i="5"/>
  <c r="K13" i="5"/>
  <c r="I13" i="5"/>
  <c r="G13" i="5"/>
  <c r="E13" i="5"/>
  <c r="K9" i="5"/>
  <c r="I9" i="5"/>
  <c r="G9" i="5"/>
  <c r="E9" i="5"/>
  <c r="K7" i="5"/>
  <c r="K24" i="5" s="1"/>
  <c r="I7" i="5"/>
  <c r="G7" i="5"/>
  <c r="E7" i="5"/>
  <c r="N24" i="4"/>
  <c r="N22" i="4"/>
  <c r="L22" i="4"/>
  <c r="L20" i="4"/>
  <c r="L24" i="4" s="1"/>
  <c r="D20" i="4"/>
  <c r="L18" i="4"/>
  <c r="D18" i="4"/>
  <c r="J16" i="4"/>
  <c r="F16" i="4"/>
  <c r="D16" i="4"/>
  <c r="J15" i="4"/>
  <c r="F15" i="4"/>
  <c r="D15" i="4"/>
  <c r="H12" i="4"/>
  <c r="F12" i="4"/>
  <c r="D12" i="4"/>
  <c r="H11" i="4"/>
  <c r="F11" i="4"/>
  <c r="D11" i="4"/>
  <c r="H9" i="4"/>
  <c r="F9" i="4"/>
  <c r="F24" i="4" s="1"/>
  <c r="D9" i="4"/>
  <c r="J8" i="4"/>
  <c r="F8" i="4"/>
  <c r="D8" i="4"/>
  <c r="F6" i="4"/>
  <c r="D6" i="4"/>
  <c r="I38" i="3"/>
  <c r="G38" i="3"/>
  <c r="E38" i="3"/>
  <c r="I36" i="3"/>
  <c r="G36" i="3"/>
  <c r="E36" i="3"/>
  <c r="I34" i="3"/>
  <c r="G34" i="3"/>
  <c r="E34" i="3"/>
  <c r="I32" i="3"/>
  <c r="G32" i="3"/>
  <c r="E32" i="3"/>
  <c r="I30" i="3"/>
  <c r="G30" i="3"/>
  <c r="E30" i="3"/>
  <c r="I27" i="3"/>
  <c r="G27" i="3"/>
  <c r="E27" i="3"/>
  <c r="I26" i="3"/>
  <c r="G26" i="3"/>
  <c r="E26" i="3"/>
  <c r="I25" i="3"/>
  <c r="G25" i="3"/>
  <c r="E25" i="3"/>
  <c r="E22" i="3"/>
  <c r="I20" i="3"/>
  <c r="G20" i="3"/>
  <c r="E20" i="3"/>
  <c r="I18" i="3"/>
  <c r="G18" i="3"/>
  <c r="E18" i="3"/>
  <c r="K14" i="3"/>
  <c r="I14" i="3"/>
  <c r="G14" i="3"/>
  <c r="E14" i="3"/>
  <c r="K13" i="3"/>
  <c r="I13" i="3"/>
  <c r="G13" i="3"/>
  <c r="E13" i="3"/>
  <c r="K12" i="3"/>
  <c r="I12" i="3"/>
  <c r="G12" i="3"/>
  <c r="E12" i="3"/>
  <c r="E15" i="3" s="1"/>
  <c r="K9" i="3"/>
  <c r="I9" i="3"/>
  <c r="G9" i="3"/>
  <c r="E9" i="3"/>
  <c r="K8" i="3"/>
  <c r="I8" i="3"/>
  <c r="G8" i="3"/>
  <c r="E8" i="3"/>
  <c r="K7" i="3"/>
  <c r="K40" i="3" s="1"/>
  <c r="I7" i="3"/>
  <c r="G7" i="3"/>
  <c r="G40" i="3" s="1"/>
  <c r="E7" i="3"/>
  <c r="D30" i="2"/>
  <c r="C30" i="2" s="1"/>
  <c r="D29" i="2"/>
  <c r="C29" i="2" s="1"/>
  <c r="D27" i="2"/>
  <c r="D28" i="2" s="1"/>
  <c r="C26" i="2"/>
  <c r="C25" i="2"/>
  <c r="C31" i="2" s="1"/>
  <c r="D31" i="2" s="1"/>
  <c r="C24" i="2"/>
  <c r="C32" i="2" s="1"/>
  <c r="D32" i="2" s="1"/>
  <c r="H12" i="2"/>
  <c r="H14" i="2" s="1"/>
  <c r="R10" i="2"/>
  <c r="R12" i="2" s="1"/>
  <c r="L10" i="2"/>
  <c r="L12" i="2" s="1"/>
  <c r="D10" i="2"/>
  <c r="V9" i="2"/>
  <c r="D9" i="2"/>
  <c r="R8" i="2"/>
  <c r="L8" i="2"/>
  <c r="V6" i="2"/>
  <c r="V7" i="2" s="1"/>
  <c r="D6" i="2"/>
  <c r="D7" i="2" s="1"/>
  <c r="C5" i="2"/>
  <c r="D12" i="2"/>
  <c r="D14" i="2" s="1"/>
  <c r="C4" i="2"/>
  <c r="R7" i="2"/>
  <c r="L7" i="2"/>
  <c r="H9" i="2"/>
  <c r="C3" i="2"/>
  <c r="H10" i="2"/>
  <c r="C2" i="2"/>
  <c r="I24" i="5" l="1"/>
  <c r="F13" i="4"/>
  <c r="L24" i="2"/>
  <c r="O24" i="2" s="1"/>
  <c r="P24" i="2" s="1"/>
  <c r="D11" i="2"/>
  <c r="C6" i="2"/>
  <c r="D33" i="2"/>
  <c r="L26" i="2" s="1"/>
  <c r="O26" i="2" s="1"/>
  <c r="P26" i="2" s="1"/>
  <c r="L9" i="2"/>
  <c r="D24" i="4"/>
  <c r="F5" i="19" s="1"/>
  <c r="H5" i="19" s="1"/>
  <c r="J24" i="4"/>
  <c r="L32" i="7"/>
  <c r="I40" i="3"/>
  <c r="H24" i="4"/>
  <c r="D21" i="13"/>
  <c r="R9" i="2"/>
  <c r="R5" i="2"/>
  <c r="R6" i="2" s="1"/>
  <c r="R13" i="2" s="1"/>
  <c r="G24" i="5"/>
  <c r="M24" i="5"/>
  <c r="N32" i="7"/>
  <c r="E22" i="8"/>
  <c r="E12" i="9"/>
  <c r="V11" i="2"/>
  <c r="L25" i="2" s="1"/>
  <c r="H11" i="2"/>
  <c r="C7" i="2"/>
  <c r="D8" i="2"/>
  <c r="V14" i="2"/>
  <c r="V12" i="2"/>
  <c r="V8" i="2"/>
  <c r="V13" i="2"/>
  <c r="D35" i="2"/>
  <c r="C28" i="2"/>
  <c r="D36" i="2"/>
  <c r="D34" i="2"/>
  <c r="L5" i="2"/>
  <c r="L6" i="2" s="1"/>
  <c r="H6" i="2"/>
  <c r="H7" i="2" s="1"/>
  <c r="H8" i="2" s="1"/>
  <c r="C27" i="2"/>
  <c r="O25" i="2" l="1"/>
  <c r="P25" i="2" s="1"/>
  <c r="R14" i="2"/>
  <c r="L28" i="2"/>
  <c r="R15" i="2"/>
  <c r="I12" i="9"/>
  <c r="E15" i="9" s="1"/>
  <c r="F8" i="19" s="1"/>
  <c r="H8" i="19" s="1"/>
  <c r="G12" i="9"/>
  <c r="E14" i="9" s="1"/>
  <c r="K12" i="9"/>
  <c r="E16" i="9" s="1"/>
  <c r="L15" i="2"/>
  <c r="L14" i="2"/>
  <c r="L13" i="2"/>
  <c r="H16" i="2"/>
  <c r="H17" i="2"/>
  <c r="H15" i="2"/>
  <c r="D15" i="2"/>
  <c r="C8" i="2"/>
  <c r="D16" i="2"/>
  <c r="L27" i="2"/>
  <c r="D17" i="2"/>
  <c r="C34" i="2"/>
  <c r="C35" i="2"/>
  <c r="C36" i="2"/>
  <c r="C7" i="16" l="1"/>
  <c r="C11" i="16" s="1"/>
  <c r="I11" i="16" s="1"/>
  <c r="O31" i="2"/>
  <c r="L31" i="2" s="1"/>
  <c r="F9" i="19" s="1"/>
  <c r="H9" i="19" s="1"/>
  <c r="O29" i="2"/>
  <c r="L29" i="2" s="1"/>
  <c r="F6" i="19" s="1"/>
  <c r="H6" i="19" s="1"/>
  <c r="C16" i="2"/>
  <c r="C17" i="2"/>
  <c r="C15" i="2"/>
  <c r="O30" i="2"/>
  <c r="L30" i="2" s="1"/>
  <c r="H114" i="19" l="1"/>
  <c r="E7" i="16"/>
  <c r="C9" i="16"/>
  <c r="G9" i="16" s="1"/>
</calcChain>
</file>

<file path=xl/sharedStrings.xml><?xml version="1.0" encoding="utf-8"?>
<sst xmlns="http://schemas.openxmlformats.org/spreadsheetml/2006/main" count="2404" uniqueCount="1199">
  <si>
    <t>Columnas</t>
  </si>
  <si>
    <t>Pedestal</t>
  </si>
  <si>
    <t>Vigas</t>
  </si>
  <si>
    <t>Zapatas</t>
  </si>
  <si>
    <t>Plato</t>
  </si>
  <si>
    <t>Cantidad</t>
  </si>
  <si>
    <t>u</t>
  </si>
  <si>
    <t>Ancho (b)</t>
  </si>
  <si>
    <t>m</t>
  </si>
  <si>
    <t>Peralto (h)</t>
  </si>
  <si>
    <t>Longitud (L)</t>
  </si>
  <si>
    <t>Altura (L)</t>
  </si>
  <si>
    <t>Área</t>
  </si>
  <si>
    <r>
      <t>m</t>
    </r>
    <r>
      <rPr>
        <sz val="10"/>
        <rFont val="Calibri"/>
        <family val="2"/>
      </rPr>
      <t>²</t>
    </r>
  </si>
  <si>
    <t>Volúmen</t>
  </si>
  <si>
    <r>
      <t>m</t>
    </r>
    <r>
      <rPr>
        <sz val="10"/>
        <rFont val="Calibri"/>
        <family val="2"/>
      </rPr>
      <t>³</t>
    </r>
  </si>
  <si>
    <t>Longitud Cercos</t>
  </si>
  <si>
    <t>Volúmen Total</t>
  </si>
  <si>
    <t>Cantidad Cercos</t>
  </si>
  <si>
    <t>Longitud Total Cercos</t>
  </si>
  <si>
    <t>Longitud Aceros</t>
  </si>
  <si>
    <t>Cantidad Aceros</t>
  </si>
  <si>
    <t>Longitud Total Aceros</t>
  </si>
  <si>
    <t>Cemento</t>
  </si>
  <si>
    <t>Arena</t>
  </si>
  <si>
    <t>Piedra</t>
  </si>
  <si>
    <t>Losas</t>
  </si>
  <si>
    <r>
      <t xml:space="preserve">TOTAL ACERO </t>
    </r>
    <r>
      <rPr>
        <b/>
        <sz val="14"/>
        <rFont val="Calibri"/>
        <family val="2"/>
      </rPr>
      <t>½¨:</t>
    </r>
  </si>
  <si>
    <t>ó</t>
  </si>
  <si>
    <t>Barras de acero de 9m</t>
  </si>
  <si>
    <r>
      <t xml:space="preserve">TOTAL ACERO </t>
    </r>
    <r>
      <rPr>
        <b/>
        <sz val="14"/>
        <rFont val="Calibri"/>
        <family val="2"/>
      </rPr>
      <t>⅝¨:</t>
    </r>
  </si>
  <si>
    <r>
      <t xml:space="preserve">TOTAL ACERO </t>
    </r>
    <r>
      <rPr>
        <b/>
        <sz val="14"/>
        <rFont val="Calibri"/>
        <family val="2"/>
      </rPr>
      <t>⅜¨:</t>
    </r>
  </si>
  <si>
    <t>TOTAL Hormigón 21Mpa:</t>
  </si>
  <si>
    <t>m³</t>
  </si>
  <si>
    <t>TOTAL Hormigón 17Mpa:</t>
  </si>
  <si>
    <t>Longitud Aceros Positivos</t>
  </si>
  <si>
    <t xml:space="preserve"> TOTAL Cemento</t>
  </si>
  <si>
    <t>Longitud Aceros Negativos</t>
  </si>
  <si>
    <t>TOTAL Arena</t>
  </si>
  <si>
    <r>
      <t>m</t>
    </r>
    <r>
      <rPr>
        <b/>
        <sz val="10"/>
        <rFont val="Calibri"/>
        <family val="2"/>
      </rPr>
      <t>³</t>
    </r>
  </si>
  <si>
    <t>Cantidad Aceros Positivos</t>
  </si>
  <si>
    <t>TOTAL Piedra</t>
  </si>
  <si>
    <t>Cantidad Aceros Negativos</t>
  </si>
  <si>
    <t>MUROS Y TABIQUES</t>
  </si>
  <si>
    <t>Area a</t>
  </si>
  <si>
    <t>Sub</t>
  </si>
  <si>
    <t>INDICES POR M2</t>
  </si>
  <si>
    <t>ACTIVIDAD</t>
  </si>
  <si>
    <t>cubrir</t>
  </si>
  <si>
    <t>u/m2</t>
  </si>
  <si>
    <t>total</t>
  </si>
  <si>
    <t xml:space="preserve">cemento </t>
  </si>
  <si>
    <t>sub</t>
  </si>
  <si>
    <t>Recebo</t>
  </si>
  <si>
    <t>Dosif.</t>
  </si>
  <si>
    <t>(m2)</t>
  </si>
  <si>
    <t>(u)</t>
  </si>
  <si>
    <t>(s)</t>
  </si>
  <si>
    <t>(m3)</t>
  </si>
  <si>
    <t>Muros de bloques</t>
  </si>
  <si>
    <t>de Hormigón</t>
  </si>
  <si>
    <t>De 0.20 m de esp.</t>
  </si>
  <si>
    <t>1,4,2</t>
  </si>
  <si>
    <t>De 0.15m de esp.</t>
  </si>
  <si>
    <t>De 0.10m de esp.</t>
  </si>
  <si>
    <t>Muros de ladrillos</t>
  </si>
  <si>
    <t>corrientes</t>
  </si>
  <si>
    <t>De 0.30 de esp.</t>
  </si>
  <si>
    <t>1,5,3</t>
  </si>
  <si>
    <t>total  de ladrillos (u)</t>
  </si>
  <si>
    <t>Muros de piedra</t>
  </si>
  <si>
    <t>natural</t>
  </si>
  <si>
    <t xml:space="preserve">Rústica de </t>
  </si>
  <si>
    <t>0.45 espesor</t>
  </si>
  <si>
    <t>0.3 espesor</t>
  </si>
  <si>
    <t>total de piedras (m3)</t>
  </si>
  <si>
    <t xml:space="preserve">Celosías de </t>
  </si>
  <si>
    <t>Hormigón</t>
  </si>
  <si>
    <t>De 0.35 x 0.35</t>
  </si>
  <si>
    <t>De 0.25 x 0.25</t>
  </si>
  <si>
    <t xml:space="preserve">De 0.4 x 0.20 </t>
  </si>
  <si>
    <t>ceramica roja</t>
  </si>
  <si>
    <t>De 0.20x0.20x0.10</t>
  </si>
  <si>
    <t>cuadrada</t>
  </si>
  <si>
    <t>De 0.18x0.18x0.10</t>
  </si>
  <si>
    <t>octogonal</t>
  </si>
  <si>
    <t>De 0,13x0,15x0,1</t>
  </si>
  <si>
    <t>hexagonal</t>
  </si>
  <si>
    <t>De 0.08x0.16x0.10</t>
  </si>
  <si>
    <t>semi-cilindro</t>
  </si>
  <si>
    <t>De 0.12x0.25x0.10</t>
  </si>
  <si>
    <t>ovalo</t>
  </si>
  <si>
    <t>total  de la  actividad --------</t>
  </si>
  <si>
    <t>REVESTIMIENTOS,ENLUCIDOS Y ESTUCOS</t>
  </si>
  <si>
    <t>sub.</t>
  </si>
  <si>
    <t xml:space="preserve">Hidrato </t>
  </si>
  <si>
    <t>Masilla</t>
  </si>
  <si>
    <t>Yeso frag.</t>
  </si>
  <si>
    <t xml:space="preserve"> Cal(kg)</t>
  </si>
  <si>
    <t>cal( kg)</t>
  </si>
  <si>
    <t>lento( kg)</t>
  </si>
  <si>
    <t>SALPICADO</t>
  </si>
  <si>
    <t>Salpicado en pared y techo</t>
  </si>
  <si>
    <t>RESANO</t>
  </si>
  <si>
    <t>Resano en techo y alero</t>
  </si>
  <si>
    <t>1,4,10%</t>
  </si>
  <si>
    <t>Resano en paredes</t>
  </si>
  <si>
    <t>REPELLO FINO</t>
  </si>
  <si>
    <t>(P.PIEDRA)</t>
  </si>
  <si>
    <t>Fino en techos y aleros</t>
  </si>
  <si>
    <t>Fino en paredes</t>
  </si>
  <si>
    <t>total de la actividad--------------</t>
  </si>
  <si>
    <t>RUSTICO</t>
  </si>
  <si>
    <t>Rustico en techos y aleros</t>
  </si>
  <si>
    <t>1,3,5</t>
  </si>
  <si>
    <t>Rustico en paredes</t>
  </si>
  <si>
    <t>Enlucido en Paredes</t>
  </si>
  <si>
    <t>Con cemento blanco y</t>
  </si>
  <si>
    <t>masilla de cal</t>
  </si>
  <si>
    <t>Con cemento gris y</t>
  </si>
  <si>
    <t>Techo con masilla de cal y</t>
  </si>
  <si>
    <t>yeso</t>
  </si>
  <si>
    <t>ENCHAPES</t>
  </si>
  <si>
    <t>U/M2</t>
  </si>
  <si>
    <t>P.Piedra</t>
  </si>
  <si>
    <t>cem/</t>
  </si>
  <si>
    <t>de Cal (kg)</t>
  </si>
  <si>
    <t>juntas</t>
  </si>
  <si>
    <t xml:space="preserve">Enchapes de </t>
  </si>
  <si>
    <t xml:space="preserve">Losetas de barro de </t>
  </si>
  <si>
    <t>0,30x0,30x0,025 m</t>
  </si>
  <si>
    <t>0,15x0,15x0,025 m</t>
  </si>
  <si>
    <t>Enchapes de ceramica</t>
  </si>
  <si>
    <t>blanca</t>
  </si>
  <si>
    <t>Azulejos de 0,15x0,15m</t>
  </si>
  <si>
    <t>Enchapes de piedras</t>
  </si>
  <si>
    <t>elaboradas</t>
  </si>
  <si>
    <t xml:space="preserve">Losas de marmol de </t>
  </si>
  <si>
    <t>0,20x0,10x0,02m</t>
  </si>
  <si>
    <t>Losetas de marmol de</t>
  </si>
  <si>
    <t>0,40x0,40x0,02</t>
  </si>
  <si>
    <t>Plancha de Mármol</t>
  </si>
  <si>
    <t>sin elaborar</t>
  </si>
  <si>
    <t>De 0,05m de espesor</t>
  </si>
  <si>
    <t>total de la actividad----------</t>
  </si>
  <si>
    <t>REVESTIMIENTOS DE CUBIERTAS</t>
  </si>
  <si>
    <t xml:space="preserve">Cantidad </t>
  </si>
  <si>
    <t xml:space="preserve">      a</t>
  </si>
  <si>
    <t>tierra</t>
  </si>
  <si>
    <t>hidrato</t>
  </si>
  <si>
    <t>Ejecutar</t>
  </si>
  <si>
    <t>s</t>
  </si>
  <si>
    <t>m3</t>
  </si>
  <si>
    <t>blanca(m3)</t>
  </si>
  <si>
    <t>cal (m3)</t>
  </si>
  <si>
    <t>TEJAS DE BARRO</t>
  </si>
  <si>
    <t>CRIOLLAS</t>
  </si>
  <si>
    <t>De 400 mm</t>
  </si>
  <si>
    <t>FRANCESAS</t>
  </si>
  <si>
    <t>Soladura en Azotea</t>
  </si>
  <si>
    <t>Enrajonado en Azotea</t>
  </si>
  <si>
    <t>TEJAS DE ASBESTO</t>
  </si>
  <si>
    <t>CEMENTO</t>
  </si>
  <si>
    <t>Acanalada de 1830x1067</t>
  </si>
  <si>
    <t>Canalón de 3.5m</t>
  </si>
  <si>
    <t>total de la actividad----------------------------------</t>
  </si>
  <si>
    <t>COLOCACIÓN DE PISOS</t>
  </si>
  <si>
    <t>Hid.</t>
  </si>
  <si>
    <t>cemento</t>
  </si>
  <si>
    <t xml:space="preserve"> Cal (kg)</t>
  </si>
  <si>
    <t>p/juntas</t>
  </si>
  <si>
    <t xml:space="preserve">PISOS DE LOSAS DE </t>
  </si>
  <si>
    <t>MARMOL</t>
  </si>
  <si>
    <t>De 0,20x0,20x0,02</t>
  </si>
  <si>
    <t>De 0,30x0,30x0,02</t>
  </si>
  <si>
    <t>De 0.40x0.40x0.02</t>
  </si>
  <si>
    <t>De Mortero</t>
  </si>
  <si>
    <t>De 0,30 de espesor</t>
  </si>
  <si>
    <t>De Losetas de Ceramica</t>
  </si>
  <si>
    <t>roja (barro)</t>
  </si>
  <si>
    <t>De losetas Hidraulicas</t>
  </si>
  <si>
    <t>(mosaicos)</t>
  </si>
  <si>
    <t>De 0,20x0,20x0,025</t>
  </si>
  <si>
    <t>De 0,25x0,25x0,025m</t>
  </si>
  <si>
    <t>De losetas de Terrazo</t>
  </si>
  <si>
    <t>(Baldosas)</t>
  </si>
  <si>
    <t>De 0,30x0,30x0,030</t>
  </si>
  <si>
    <t>De 0,40x0,40x0,030</t>
  </si>
  <si>
    <t>RODAPIES</t>
  </si>
  <si>
    <t>(U/ML)</t>
  </si>
  <si>
    <t>1,3,10%</t>
  </si>
  <si>
    <t>de 0,25x0,08x0,016m</t>
  </si>
  <si>
    <t>De 0,30x0,08x0,025m</t>
  </si>
  <si>
    <t>total de la actividad---------------------</t>
  </si>
  <si>
    <t>PINTURAS</t>
  </si>
  <si>
    <t>Gl/m2</t>
  </si>
  <si>
    <t>L/M2</t>
  </si>
  <si>
    <t>Sacos/</t>
  </si>
  <si>
    <t>Alcohol</t>
  </si>
  <si>
    <t>m2</t>
  </si>
  <si>
    <t>VINYL</t>
  </si>
  <si>
    <t>Pintura de vinyl s/repello fino</t>
  </si>
  <si>
    <t>2 manos</t>
  </si>
  <si>
    <t>Pintura de vinyl s/repello rústico</t>
  </si>
  <si>
    <t>total pintura vinyl (gls)</t>
  </si>
  <si>
    <t>LECHADA</t>
  </si>
  <si>
    <t>De cal sobre pared 2 manos</t>
  </si>
  <si>
    <t>Cementosa sobre pared 1 mano</t>
  </si>
  <si>
    <t>ACEITE</t>
  </si>
  <si>
    <t>Aparejo sobre auperficies de madera</t>
  </si>
  <si>
    <t>1 mano</t>
  </si>
  <si>
    <t xml:space="preserve">Pintura de aceite sobre puertas y </t>
  </si>
  <si>
    <t>ventanas y superficies de madera</t>
  </si>
  <si>
    <t>Pintura de aceite sobre pared 2 manos</t>
  </si>
  <si>
    <t>total pintura aceite (gls)</t>
  </si>
  <si>
    <t>LACAS Y BARNICES</t>
  </si>
  <si>
    <t xml:space="preserve">Goma laca sobre superficies de </t>
  </si>
  <si>
    <t>madera 1 mano</t>
  </si>
  <si>
    <t>Barniz sobre madera 1 mano</t>
  </si>
  <si>
    <t>PINTURAS ANTICORROSIVAS</t>
  </si>
  <si>
    <t>SOBRE METALES</t>
  </si>
  <si>
    <t>Minio, 1 mano</t>
  </si>
  <si>
    <t>Oxido rojo. 1 mano</t>
  </si>
  <si>
    <t>Rojo. 2 manos</t>
  </si>
  <si>
    <t>Características de los materiales</t>
  </si>
  <si>
    <t>Cemento P-350   Fábrica José Mercerón</t>
  </si>
  <si>
    <t>Arena Lavada de Juragua</t>
  </si>
  <si>
    <t>Grava de 19,1mm Cantera de los Guaos</t>
  </si>
  <si>
    <t>Volúmen de</t>
  </si>
  <si>
    <t>Rajon</t>
  </si>
  <si>
    <t xml:space="preserve">                                               Indices por m3</t>
  </si>
  <si>
    <t>Tipo de Hormigón</t>
  </si>
  <si>
    <t>del vol.</t>
  </si>
  <si>
    <t>Subtotal</t>
  </si>
  <si>
    <t>Grava</t>
  </si>
  <si>
    <t>ciclopeo (30% rajon)</t>
  </si>
  <si>
    <t>kg/m3</t>
  </si>
  <si>
    <t>kg</t>
  </si>
  <si>
    <t>H-100  KG/CM2</t>
  </si>
  <si>
    <t xml:space="preserve">TOTAL RAJON </t>
  </si>
  <si>
    <t>M3</t>
  </si>
  <si>
    <t xml:space="preserve">TOTAL CEMENTO </t>
  </si>
  <si>
    <t>S (42,5 KG)</t>
  </si>
  <si>
    <t xml:space="preserve">TOTAL ARENA </t>
  </si>
  <si>
    <t xml:space="preserve">TOTAL GRAVA </t>
  </si>
  <si>
    <t>INSTALACION ELECTRICA</t>
  </si>
  <si>
    <t>Actividad</t>
  </si>
  <si>
    <t xml:space="preserve">m2 del </t>
  </si>
  <si>
    <t>Indice</t>
  </si>
  <si>
    <t>local</t>
  </si>
  <si>
    <t>sub total</t>
  </si>
  <si>
    <t>COLOCACION</t>
  </si>
  <si>
    <t xml:space="preserve"> De tomacorriente</t>
  </si>
  <si>
    <t xml:space="preserve"> De interruptores</t>
  </si>
  <si>
    <t>Bombillo LED E27</t>
  </si>
  <si>
    <t>Luminaria LED T8</t>
  </si>
  <si>
    <t>Tuberias</t>
  </si>
  <si>
    <t>(m/m2)</t>
  </si>
  <si>
    <t xml:space="preserve">Tub.( Empotrada o expuesta) de </t>
  </si>
  <si>
    <t xml:space="preserve">PVC de 1/2 " </t>
  </si>
  <si>
    <t>Cable por tuberia</t>
  </si>
  <si>
    <t>TW 14</t>
  </si>
  <si>
    <t>TW 12</t>
  </si>
  <si>
    <t>Instalacion hidrosanitaria</t>
  </si>
  <si>
    <t>Baño en primer nivel.Dimensiones Ancho: 1,4m, Largo: 2,4m, Puntal: 2,4m (Bajo Losa)</t>
  </si>
  <si>
    <t xml:space="preserve">total de </t>
  </si>
  <si>
    <t>Materiales</t>
  </si>
  <si>
    <t>baños</t>
  </si>
  <si>
    <t>necesarios</t>
  </si>
  <si>
    <t>Tuberías internas BoVo 4"</t>
  </si>
  <si>
    <t>De 4" (u)</t>
  </si>
  <si>
    <t>Cemento p-250 (s)</t>
  </si>
  <si>
    <t>Arena (m3)</t>
  </si>
  <si>
    <t>Equipos Sanitarios</t>
  </si>
  <si>
    <t>Tasa Sanitaria (u)</t>
  </si>
  <si>
    <t>Lavamanos (u)</t>
  </si>
  <si>
    <t>Tanque con tapa (u)</t>
  </si>
  <si>
    <t>Cemento blanco (s) de 42,5 kg</t>
  </si>
  <si>
    <t>Ramal interno de la vivienda y ventilación</t>
  </si>
  <si>
    <t>Tubo de BoVo de 4" (u)</t>
  </si>
  <si>
    <t>Tubo de PVC de 4" (m)</t>
  </si>
  <si>
    <t>Instalación Hidráulica  (HoGo)</t>
  </si>
  <si>
    <t>Tubo de 1" (m)</t>
  </si>
  <si>
    <t>Tubo de 3/4" (m)</t>
  </si>
  <si>
    <t>Tubo de 1/2" (m)</t>
  </si>
  <si>
    <t>total cemento p-250 (s) 50 kg</t>
  </si>
  <si>
    <t>total arena (m3)</t>
  </si>
  <si>
    <t>Baño en segundo nivel.Dimensiones Ancho: 1,4m, Largo: 2,4m, Puntal: 2,4m (Bajo Losa)</t>
  </si>
  <si>
    <t>Tuberías internas PVC</t>
  </si>
  <si>
    <t>De 4" (m)</t>
  </si>
  <si>
    <t>De 2" (m)</t>
  </si>
  <si>
    <t>Tasa Sanitaria  (u)</t>
  </si>
  <si>
    <t>Cocina en primer nivel.Dimensiones de la Meseta; ancho, 0,60m x 1,8 m de largo</t>
  </si>
  <si>
    <t>cocinas</t>
  </si>
  <si>
    <t>Arena  (m3)</t>
  </si>
  <si>
    <t>Fregadero (u)</t>
  </si>
  <si>
    <t>Ramal interno y ventilación</t>
  </si>
  <si>
    <t>total arena</t>
  </si>
  <si>
    <t>Cocina en segundo nivel.Dimensiones de la Meseta; ancho, 0,60m x 1,8 m de largo</t>
  </si>
  <si>
    <t>coc.</t>
  </si>
  <si>
    <t>Fregadero</t>
  </si>
  <si>
    <t>VOLUMEN DE ALMACENAMIENTO DE AGUA</t>
  </si>
  <si>
    <t>TOTAL DE TANQUES DE ASBESTO DE 500 GLS A USAR.</t>
  </si>
  <si>
    <t>No de personas</t>
  </si>
  <si>
    <t>Indice de consumo</t>
  </si>
  <si>
    <t xml:space="preserve">Total de </t>
  </si>
  <si>
    <t xml:space="preserve">Ciclo de </t>
  </si>
  <si>
    <t>Volumen total</t>
  </si>
  <si>
    <t xml:space="preserve">Total de tanques </t>
  </si>
  <si>
    <t>de agua diario/personas</t>
  </si>
  <si>
    <t>litros diarios</t>
  </si>
  <si>
    <t xml:space="preserve">abasto de </t>
  </si>
  <si>
    <t xml:space="preserve">de agua a </t>
  </si>
  <si>
    <t>de asbesto cemento</t>
  </si>
  <si>
    <t>(lts/dia)</t>
  </si>
  <si>
    <t>agua (dias)</t>
  </si>
  <si>
    <t>almacenar  (lts)</t>
  </si>
  <si>
    <t>de 500gls (1900 lts) a usar</t>
  </si>
  <si>
    <t>MADERA PARA ENCOFRADOS Y PUNTILLAS</t>
  </si>
  <si>
    <t>PIEZAS</t>
  </si>
  <si>
    <t>m3 de Hormigón</t>
  </si>
  <si>
    <t>Indice consumo</t>
  </si>
  <si>
    <t>Sub total</t>
  </si>
  <si>
    <t>Indice madera</t>
  </si>
  <si>
    <t xml:space="preserve">Indice de </t>
  </si>
  <si>
    <t>tablas (pié/taller)</t>
  </si>
  <si>
    <t>(pié/taller)</t>
  </si>
  <si>
    <t>Auxiliar (pié/taller)</t>
  </si>
  <si>
    <t>puntillas (Kg)</t>
  </si>
  <si>
    <t>Tablas de madera</t>
  </si>
  <si>
    <t>Madera Auxiliar</t>
  </si>
  <si>
    <t>Puntillas 2 1/2 calibre 12</t>
  </si>
  <si>
    <t>Instalación Hidráulica Plástica</t>
  </si>
  <si>
    <t>ACTIVIDADES</t>
  </si>
  <si>
    <t>U/M</t>
  </si>
  <si>
    <t>Precio CUP</t>
  </si>
  <si>
    <t>Costo CUP</t>
  </si>
  <si>
    <t>TRABAJOS VARIOS 001</t>
  </si>
  <si>
    <t>Terminación a Frota Gruesa</t>
  </si>
  <si>
    <t>M2</t>
  </si>
  <si>
    <t>Colocación de  Cartel Lumínico</t>
  </si>
  <si>
    <t>U</t>
  </si>
  <si>
    <t>Acarreo de Escombros</t>
  </si>
  <si>
    <t>Acarreo de Tierra</t>
  </si>
  <si>
    <t xml:space="preserve">Acarreo  de Material Suelto a Vagón </t>
  </si>
  <si>
    <t>Vagón</t>
  </si>
  <si>
    <t xml:space="preserve">Rehincho y Compactación Manual </t>
  </si>
  <si>
    <t>Ranurado en Pared</t>
  </si>
  <si>
    <t>Chapea de Manigua</t>
  </si>
  <si>
    <t>Colocación de Gigantografía</t>
  </si>
  <si>
    <t>Colocación de Bancos Metálicos en Parques y Exteriores</t>
  </si>
  <si>
    <t>Limpieza de Obra</t>
  </si>
  <si>
    <t>Demolición de Cerca de Mallas Perles</t>
  </si>
  <si>
    <t>Acarreo de Áridos de 10 a 50 mts de Distancia</t>
  </si>
  <si>
    <t>Acarreo de Áridos de 50 mts de Distancia</t>
  </si>
  <si>
    <t>Acarreo de Cemento en Bolsa a más de 10 mts de distancia</t>
  </si>
  <si>
    <t>Bolsa</t>
  </si>
  <si>
    <t>Acarreo de Materiales Varios a más de 10 mts de Distancia</t>
  </si>
  <si>
    <t>Viaje</t>
  </si>
  <si>
    <t>Acarreo de Bloques a más de 10 mts de Distancia</t>
  </si>
  <si>
    <t>Acarreo de Cabillas a más de 10 mts de Distancia</t>
  </si>
  <si>
    <t>Acarreo de ladrillos a más de 10 mts de Distancia</t>
  </si>
  <si>
    <t>Acarreo de Losas o Mosaicos a más de 10 mts de Distancia</t>
  </si>
  <si>
    <t>Acarreo de Agua a más de 10mts de Distancia</t>
  </si>
  <si>
    <t>lts</t>
  </si>
  <si>
    <t>Acarreo de Escombro de 10 a 50 mts de Distancia</t>
  </si>
  <si>
    <t>Acarreo de Escombro de 50 mts de Distancia</t>
  </si>
  <si>
    <t>Acarreo de Tierra de 10 a 50 mts de Distancia</t>
  </si>
  <si>
    <t>Acarreo de Tierra de 50 mts de Distancia</t>
  </si>
  <si>
    <t>Reparación de tanque elevado d fibrocemento</t>
  </si>
  <si>
    <t>Arme y Desarme de Andamios</t>
  </si>
  <si>
    <t>Sub-total</t>
  </si>
  <si>
    <t>CARPINTERÍA 002</t>
  </si>
  <si>
    <t>Colocación de Ventana Sencilla</t>
  </si>
  <si>
    <t>Colocación de Puertas con Marco</t>
  </si>
  <si>
    <t>Colocación de Ventanas Doble</t>
  </si>
  <si>
    <t>Colocación de Carpintería de Aluminio</t>
  </si>
  <si>
    <t>Colocación de Verjas de Platina</t>
  </si>
  <si>
    <t>Demolición de Carpintería de Madera con Cristal</t>
  </si>
  <si>
    <t xml:space="preserve">Desmonte de Ventanas </t>
  </si>
  <si>
    <t xml:space="preserve">Desmonte de Puertas con Marcos </t>
  </si>
  <si>
    <t>Elaboración de Verjas de Platina</t>
  </si>
  <si>
    <t>Elaboración de Marquetería  para Cartel Lumínico</t>
  </si>
  <si>
    <t>Colocación de llavines de Puertas</t>
  </si>
  <si>
    <t>Colocación de Marcos Puertas</t>
  </si>
  <si>
    <t>Colocación de Puertas</t>
  </si>
  <si>
    <t>Desmonte de Verjas</t>
  </si>
  <si>
    <t>Desmonte de Puerta de Madera con su Marco</t>
  </si>
  <si>
    <t>Desmonte de Ventana Abisagrada de Madera con su Marco</t>
  </si>
  <si>
    <t>Desmonte de Hoja de Puerta de Madera</t>
  </si>
  <si>
    <t>Desmonte de Hoja de Puerta de Metal con su Marco</t>
  </si>
  <si>
    <t>Desmonte de Paño Fijo de Metal (Incluye Quitar El Vidrio)</t>
  </si>
  <si>
    <t>Demolición de Forro de Madera en Columnas o Vigas</t>
  </si>
  <si>
    <t>Desmonte de Ventana Miami de Madera con su Marco</t>
  </si>
  <si>
    <t>Desmonte de Ventana Miami de Metálica con su Marco</t>
  </si>
  <si>
    <t>Desmonte de tablillas de Ventana Miami de Madera o Metal</t>
  </si>
  <si>
    <t>Conformación de marco de Madera para Aire Acondicionado</t>
  </si>
  <si>
    <t>Montar Hoja de Puerta de Madera Sencilla</t>
  </si>
  <si>
    <t>Montaje de Ventana de Madera de Dos Hojas o Más</t>
  </si>
  <si>
    <t>Montar Puerta de Aluminio con su Marco</t>
  </si>
  <si>
    <t>Montaje de Paño Fijo de Metal (Incluye Montar El Vidrio)</t>
  </si>
  <si>
    <t>Montaje de Ventana de Metal o Aluminio con sus Tranques</t>
  </si>
  <si>
    <t>Montaje de Ventana Miami de Madera con sus Tranques</t>
  </si>
  <si>
    <t>Montaje de Ventana de Corredera de Aluminio con sus Tranques</t>
  </si>
  <si>
    <t>Montaje de Ventana Pivotante de Aluminio con sus Tranques</t>
  </si>
  <si>
    <t>Seccionar en dos Ventanas de Metal (Cortar y Armar)</t>
  </si>
  <si>
    <t>Seccionar en dos Ventanas de Metal (Cortar)</t>
  </si>
  <si>
    <t>Desmonte de Llavín para Calle con Seguro</t>
  </si>
  <si>
    <t>Montaje de Llavín para Calle con Seguro</t>
  </si>
  <si>
    <t>Desmonte de Llavín Picaporte con Seguro</t>
  </si>
  <si>
    <t>Montaje de Llavín Picaporte con Seguro</t>
  </si>
  <si>
    <t>Colocación de Agarraderas Metálicas</t>
  </si>
  <si>
    <t>Colocación de Pestillos</t>
  </si>
  <si>
    <t>Reparación de Ventana Miami de Madera</t>
  </si>
  <si>
    <t>Elaboración de Rejas Metálicas</t>
  </si>
  <si>
    <t>Montaje de Rejas Metálicas</t>
  </si>
  <si>
    <t>Desmonte de Rejas Metálicas</t>
  </si>
  <si>
    <t>Corte con Disco de Rejas Metálicas</t>
  </si>
  <si>
    <t>Reajuste de Rejas Metálicas (Complejidad Baja)</t>
  </si>
  <si>
    <t>Reajuste de Rejas Metálicas (Complejidad Media)</t>
  </si>
  <si>
    <t>Reajuste de Rejas Metálicas (Complejidad Alta)</t>
  </si>
  <si>
    <t>Elaboración de Bisagras Metálicas</t>
  </si>
  <si>
    <t>Elaboración de Pestillo Metálico</t>
  </si>
  <si>
    <t>Elaboración de Tranque Metálico para Candado</t>
  </si>
  <si>
    <t>Elaboración de Tranque Metálico para Llavín</t>
  </si>
  <si>
    <t>Elaboración y Montaje de Escalera Metálica a Cubierta</t>
  </si>
  <si>
    <t>Elaboración de Rejilla de Piso de Cabillas P/Registros hasta (0.40x0.40) m</t>
  </si>
  <si>
    <t>CUBIERTA 003</t>
  </si>
  <si>
    <t>Colocación de Cubierta Ligera</t>
  </si>
  <si>
    <t>Colocación de Tejas</t>
  </si>
  <si>
    <t>Colocación de Purling</t>
  </si>
  <si>
    <t>Ml</t>
  </si>
  <si>
    <t>Colocación de Falso Techo</t>
  </si>
  <si>
    <t>Colocación de Cerchas Metálicas en Cubierta</t>
  </si>
  <si>
    <t>Demolición de Cubierta Ligera</t>
  </si>
  <si>
    <t>Demolición de Falso Techo</t>
  </si>
  <si>
    <t>Desmonte de Techo</t>
  </si>
  <si>
    <t>Impermeabilización</t>
  </si>
  <si>
    <t>Colocación de Manta Impermeable</t>
  </si>
  <si>
    <t>Aplicación de Mortero en Placa</t>
  </si>
  <si>
    <t>Colocación Cerchas en Cúpula</t>
  </si>
  <si>
    <t>Elaboración de Cerchas en Cúpula</t>
  </si>
  <si>
    <t>Elaboración de Cerchas Metálicas en Cubierta</t>
  </si>
  <si>
    <t>Desmonte de Caballete de Zinc Galvanizado</t>
  </si>
  <si>
    <t>ml</t>
  </si>
  <si>
    <t>Desmonte de Canal Pluvial de Zinc Galvanizado</t>
  </si>
  <si>
    <t>Desmonte de Estructura Soportante de Madera</t>
  </si>
  <si>
    <t>Desmonte de Estructura Soportante Metálica</t>
  </si>
  <si>
    <t>Construcción de Estructura Soportante Metálica</t>
  </si>
  <si>
    <t>Reparación de Estructura Soportante Metálica</t>
  </si>
  <si>
    <t>Reparación de Estructura Soportante Madera</t>
  </si>
  <si>
    <t>Colocación de Caballete de Zinc Galvanizado</t>
  </si>
  <si>
    <t>Colocación de Canal Pluvial de Zinc Galvanizado</t>
  </si>
  <si>
    <t>Construcción de Canal Pluvial de Zinc Galvanizado</t>
  </si>
  <si>
    <t>Construcción de Cajón Pluvial de Zinc Galvanizado (Colector de Agua)</t>
  </si>
  <si>
    <t>Construcción de Bajante Pluvial de Zinc Galvanizado</t>
  </si>
  <si>
    <t>Construcción de Ganchos Metálicos Soporte Canal Pluvial</t>
  </si>
  <si>
    <t>Montaje de Gancho Metálicos Soporte Canal Pluvial</t>
  </si>
  <si>
    <t>Revisión y Ajuste de Cubierta de Tejas de Fibro Cemento o Zinc Galvanizado</t>
  </si>
  <si>
    <t>Revisión y Ajuste de Canal Pluvial de Zinc Galvanizado</t>
  </si>
  <si>
    <t>Limpieza de Cubierta</t>
  </si>
  <si>
    <t>Acarreo de Materiales a Cubierta</t>
  </si>
  <si>
    <t>Desmonte de Planchas de Falso Techo de Cartón o Madera</t>
  </si>
  <si>
    <t>Desmonte de Estructura de Madera Soporte de Falso Techo</t>
  </si>
  <si>
    <t>Desmonte de Estructura de Metal Soporte de Falso Techo</t>
  </si>
  <si>
    <t>Desmonte de Planchas de Falso Techo de Pladur o PVC</t>
  </si>
  <si>
    <t>Elaboración y Montaje de Estructura de Madera en Falso Techo</t>
  </si>
  <si>
    <t>Elaboración y Montaje de Planchas de Cartón Primanite</t>
  </si>
  <si>
    <t>Remate de Juntas con Cintillos de Madera</t>
  </si>
  <si>
    <t>Elaboración y Montaje de estructura Soporte Para Pladur</t>
  </si>
  <si>
    <t>Elaboración y Montaje con Plancha de Pladur</t>
  </si>
  <si>
    <t>Masilla de Yeso y Lija en Planchas de Pladur o Similar</t>
  </si>
  <si>
    <t>Montaje de Falso Techo de Estructura Metálica y Losas de Yeso o Cartón</t>
  </si>
  <si>
    <t>Montaje de Falso Techo de Estructura Metálica y Lamas de PVC</t>
  </si>
  <si>
    <t>Desmonte de Cercha de Cabillas</t>
  </si>
  <si>
    <t>Desmonte de Purlings de Cabillas</t>
  </si>
  <si>
    <t>Reparación de Cercha de Cabillas</t>
  </si>
  <si>
    <t>Reparación de Purlings de Cabillas</t>
  </si>
  <si>
    <t>Construcción de Cerchas de Cabillas</t>
  </si>
  <si>
    <t>Construcción de Purlings de Cabillas</t>
  </si>
  <si>
    <t>Montaje de Cercha de Cabillas</t>
  </si>
  <si>
    <t>Montaje de Purlings de Cabillas</t>
  </si>
  <si>
    <t>Construcción de Columna de Purlings Doble</t>
  </si>
  <si>
    <t>Montaje de Columna de Purlinsg Doble</t>
  </si>
  <si>
    <t>Construcción de Cercha de Purlinsg</t>
  </si>
  <si>
    <t>Construcción de Viga de Purlings Doble</t>
  </si>
  <si>
    <t>Montaje de Cercha de Purlings</t>
  </si>
  <si>
    <t>Montaje de Viga de Purlings Doble</t>
  </si>
  <si>
    <t>Montaje de Vigueta de Purlings Sencillo</t>
  </si>
  <si>
    <t>Construcción de Arriostres o Anclajes Soldados de Acero</t>
  </si>
  <si>
    <t>Cordones de Soldaduras Pequeños en Estructura Metálicas</t>
  </si>
  <si>
    <t>Cordones de Soldaduras Medianos en Estructura Metálicas</t>
  </si>
  <si>
    <t>Limpieza de Cubierta para impermeabilización</t>
  </si>
  <si>
    <t>Pintura Asfáltica de Sellaje</t>
  </si>
  <si>
    <t>Colocación de Manta Asfáltica</t>
  </si>
  <si>
    <t>Remate Canal Con Manta Asfáltica</t>
  </si>
  <si>
    <t>Remate de Caballete con Manta Asfáltica</t>
  </si>
  <si>
    <t>Remate de Juntas con Masilla Asfáltica</t>
  </si>
  <si>
    <t>Ochava con Mezcla de Cemento para Amarrar Tejas de Zinc</t>
  </si>
  <si>
    <t>Mortero de Nivelación Sobre Cubierta de Hormigón hasta 5 cm de Espesor</t>
  </si>
  <si>
    <t>Colocación de Losas de Barro Impermeable (Rasillas en Cubierta)</t>
  </si>
  <si>
    <t>Colocación de Losas de barro impermeable (Rasillas en Aleros)</t>
  </si>
  <si>
    <t>PISOS 004</t>
  </si>
  <si>
    <t>Colocación Losa Mosaico, Torchos, (Baldosa) y Otros</t>
  </si>
  <si>
    <t>Colocación Rodapiés</t>
  </si>
  <si>
    <t>Atesado en Piso</t>
  </si>
  <si>
    <t>Colocación de Rodapiés</t>
  </si>
  <si>
    <t>Demolición de Piso Mosaico o Baldosa</t>
  </si>
  <si>
    <t>Corte de Losetas</t>
  </si>
  <si>
    <t>Demolición de Piso de Hormigón</t>
  </si>
  <si>
    <t>Demolición de Pisos de Mortero y Cemento Pulido</t>
  </si>
  <si>
    <t>Demolición de Pisos (Mosaicos, Baldosas, o Gres Cerámico)</t>
  </si>
  <si>
    <t>Demolición de Enchapes (Mosaicos, Baldosas, o Gres Cerámico)</t>
  </si>
  <si>
    <t>Demolición de Rodapiés (Mosaicos, Baldosas, o Gres Cerámico)</t>
  </si>
  <si>
    <t>Desmoste de Rodapiés (Mosaicos, Baldosas, o Gres Cerámico)</t>
  </si>
  <si>
    <r>
      <t xml:space="preserve">Colocación de </t>
    </r>
    <r>
      <rPr>
        <b/>
        <sz val="12"/>
        <color theme="1"/>
        <rFont val="Arial"/>
        <family val="2"/>
      </rPr>
      <t>Piso de Gres Cerámico</t>
    </r>
  </si>
  <si>
    <r>
      <t xml:space="preserve">Colocación de </t>
    </r>
    <r>
      <rPr>
        <b/>
        <sz val="12"/>
        <color theme="1"/>
        <rFont val="Arial"/>
        <family val="2"/>
      </rPr>
      <t>Rodapiés de Gres Cerámico</t>
    </r>
  </si>
  <si>
    <t>Colocación de Piso de Baldosas de Terrazo</t>
  </si>
  <si>
    <t>Colocación de Rodapiés de Baldosas de Terrazo</t>
  </si>
  <si>
    <t>Colocación de Piso de Mosaico de Producción Nacional (Tochos)</t>
  </si>
  <si>
    <t>Colocación de Rodapiés de Mosaicos de Producción Nacional</t>
  </si>
  <si>
    <t>Colocación de Piso de Lajas o Piedras Naturales</t>
  </si>
  <si>
    <t>Relleno y Atesado con Tierra en Pisos hasta 5 cm de espesor</t>
  </si>
  <si>
    <t>Relleno y Atesado con Tierra en Pisos hasta 10 cm de Espesor</t>
  </si>
  <si>
    <t>Relleno y Atesado con Piedras o Rajones hasta 30 cm de Espesor</t>
  </si>
  <si>
    <t>Relleno y Atesado entre Muros hasta 30 cm de Espesor y hasta 1.0 mts de alto</t>
  </si>
  <si>
    <t>ELEMENTOS DE PARED 005</t>
  </si>
  <si>
    <t>Colocación de Bloques</t>
  </si>
  <si>
    <t>Demolición de Muros de Bloques o Ladrillos</t>
  </si>
  <si>
    <t xml:space="preserve">Demolición de Paredes de Madera o Cartón </t>
  </si>
  <si>
    <t xml:space="preserve">Demolición de Celosías de Hormigón </t>
  </si>
  <si>
    <t>Construcción de Paredes de Pleicer o Pladur</t>
  </si>
  <si>
    <t>Construcción de Granero</t>
  </si>
  <si>
    <t>Construcción de Exhibidor</t>
  </si>
  <si>
    <t>Hacer Pase en Pared de Bloque y Ladrillos</t>
  </si>
  <si>
    <t>Hacer Pase en Elementos de Hormigón</t>
  </si>
  <si>
    <t>ML</t>
  </si>
  <si>
    <t>Desconchado en Pared</t>
  </si>
  <si>
    <t>Demolición de Elementos de Estructuras Metálicas</t>
  </si>
  <si>
    <t>Colocación de Ladrillos Citara</t>
  </si>
  <si>
    <t>Colocación de Ladrillos Alicatados</t>
  </si>
  <si>
    <t>Colocación de Celosías de Hgón 0.30 x 0.30</t>
  </si>
  <si>
    <t>Colocación de Bloques de Hormigón de 0.10 m de Espesor</t>
  </si>
  <si>
    <t>Colocación de Bloques de Hormigón de 0.15 m de Espesor</t>
  </si>
  <si>
    <r>
      <t xml:space="preserve">Colocación de Bloques de Hormigón de 0.10 m de Espesor </t>
    </r>
    <r>
      <rPr>
        <b/>
        <sz val="12"/>
        <color theme="1"/>
        <rFont val="Arial"/>
        <family val="2"/>
      </rPr>
      <t>(MACIZADOS)</t>
    </r>
  </si>
  <si>
    <r>
      <t xml:space="preserve">Colocación de Bloques de Hormigón de 0.15 m de Espesor </t>
    </r>
    <r>
      <rPr>
        <b/>
        <sz val="12"/>
        <color theme="1"/>
        <rFont val="Arial"/>
        <family val="2"/>
      </rPr>
      <t>(MACIZADOS)</t>
    </r>
  </si>
  <si>
    <t>Colocación de Bloques de Hormigón de 0.20 m de Espesor</t>
  </si>
  <si>
    <r>
      <t xml:space="preserve">Colocación de Bloques de Hormigón de 0.20 m de Espesor </t>
    </r>
    <r>
      <rPr>
        <b/>
        <sz val="12"/>
        <color theme="1"/>
        <rFont val="Arial"/>
        <family val="2"/>
      </rPr>
      <t>(MACIZADOS)</t>
    </r>
  </si>
  <si>
    <t>Colocación de Ladrillo de Barro Corriente a Pandereta</t>
  </si>
  <si>
    <t>Colocación de Ladrillo de Barro Corriente a Sogue</t>
  </si>
  <si>
    <t>Colocación de Bloque de Vidrio</t>
  </si>
  <si>
    <t>Demolición de Muro de Bloque de 0.10 m de Espesor</t>
  </si>
  <si>
    <t>Demolición de Muro de Bloque de 0.15 m de Espesor</t>
  </si>
  <si>
    <r>
      <t xml:space="preserve">Demolición de Muro de Bloque de 0.10 m de Espesor </t>
    </r>
    <r>
      <rPr>
        <b/>
        <sz val="12"/>
        <color theme="1"/>
        <rFont val="Arial"/>
        <family val="2"/>
      </rPr>
      <t>MACIZADO</t>
    </r>
  </si>
  <si>
    <r>
      <t xml:space="preserve">Demolición de Muro de Bloque de 0.15 m de Espesor </t>
    </r>
    <r>
      <rPr>
        <b/>
        <sz val="12"/>
        <color theme="1"/>
        <rFont val="Arial"/>
        <family val="2"/>
      </rPr>
      <t>MACIZADO</t>
    </r>
  </si>
  <si>
    <r>
      <t xml:space="preserve">Demolición de Muro de Bloque de 0.20 m de Espesor </t>
    </r>
    <r>
      <rPr>
        <b/>
        <sz val="12"/>
        <color theme="1"/>
        <rFont val="Arial"/>
        <family val="2"/>
      </rPr>
      <t>MACIZADO</t>
    </r>
  </si>
  <si>
    <t>Demolición de Muro de Ladrillos a Pandereta</t>
  </si>
  <si>
    <t>Demolición de Muro de Ladrillos a Sogue</t>
  </si>
  <si>
    <t>Demolición de Pilastra de Ladrillos hasta 30x30 cm de Sección</t>
  </si>
  <si>
    <t>Demolición de Celosías de Ladrillos o Bloques</t>
  </si>
  <si>
    <t>Demolición de Celosías Prefabricadas de Hormigón</t>
  </si>
  <si>
    <t>Desmonte de Paredes Ligeras de Madera y Cartón</t>
  </si>
  <si>
    <t>Elaboración y Montaje de Estructura de Madera en Tabiques Divisorios</t>
  </si>
  <si>
    <t>Elaboración y Montaje de Tabiques de Cartón Primanite</t>
  </si>
  <si>
    <t>Remate de Juntas con Junquillos de Madera</t>
  </si>
  <si>
    <t>Desmonte de Planchas de Pladur en Paredes</t>
  </si>
  <si>
    <t>Desmonte de Estructura Soporte de Pared de Pladur</t>
  </si>
  <si>
    <t>Montaje de Estructura Metálica Soportería de Pared de Pladur</t>
  </si>
  <si>
    <t>Montaje de Estructura Madera Soportería de Pared de Pladur</t>
  </si>
  <si>
    <t>Elaboración y Montaje de Tabique con Planchas de Pladur o Plycen</t>
  </si>
  <si>
    <t>Masilla de Yeso y Lija en Juntas de Pladur</t>
  </si>
  <si>
    <t>INSTALACIONES ELÉCTRICAS 006</t>
  </si>
  <si>
    <t>Colocación de Lámpara de 18W</t>
  </si>
  <si>
    <t>Colocación de Lámparas de 32 W</t>
  </si>
  <si>
    <t>Colocación de Lámparas Decorativas</t>
  </si>
  <si>
    <t>Colocación de Apliques</t>
  </si>
  <si>
    <t>Colocación de Cajas Eléctricas 2"X4"</t>
  </si>
  <si>
    <t>Colocación de Cajas Eléctricas 4"X4"</t>
  </si>
  <si>
    <t>Colocación de Canaletas</t>
  </si>
  <si>
    <t>Colocación de Cables Eléctricos</t>
  </si>
  <si>
    <t>Colocación de Cables Eléctricos # 10</t>
  </si>
  <si>
    <t>Colocación de Cable Eléctricos #12</t>
  </si>
  <si>
    <t>Colocación de Cable Eléctricos #14</t>
  </si>
  <si>
    <t>Colocación de Tuberías Eléctricas</t>
  </si>
  <si>
    <t>Colocación de Tomacorrientes</t>
  </si>
  <si>
    <t>Colocación de Interruptores</t>
  </si>
  <si>
    <t>Colocación de PGD</t>
  </si>
  <si>
    <t>Desmonte de Lámparas</t>
  </si>
  <si>
    <t>Desmonte de Interruptores</t>
  </si>
  <si>
    <t>Explorar Instalaciones Eléctricas</t>
  </si>
  <si>
    <t>Tapar Ranura Eléctrica</t>
  </si>
  <si>
    <t>Colocación de Breaker (Cualquier Amperaje)</t>
  </si>
  <si>
    <t>Desinstalar Cables Eléctricos</t>
  </si>
  <si>
    <t>Desmonte de Luminarias</t>
  </si>
  <si>
    <t>Desmonte de Tomacorrientes e Interruptores</t>
  </si>
  <si>
    <t>Desmonte de Caja Eléctrica</t>
  </si>
  <si>
    <t>Desmonte de Tubería Eléctrica</t>
  </si>
  <si>
    <t>Desmonte de Canaleta Eléctrica</t>
  </si>
  <si>
    <t>Desmonte de Breakers</t>
  </si>
  <si>
    <t>Desmonte de Panel Eléctrico</t>
  </si>
  <si>
    <t>Ranurado en Piso de Hormigón o Asfalto</t>
  </si>
  <si>
    <t>Tapar Ranuras en Piso de Hormigón</t>
  </si>
  <si>
    <t>Tapar Ranuras en Pared</t>
  </si>
  <si>
    <t>Pase en Pared</t>
  </si>
  <si>
    <t>Pase en Vigas o Columnas de Hormigón Armado</t>
  </si>
  <si>
    <t>Pase en Losa de Hormigón Armado</t>
  </si>
  <si>
    <t>Excavación en Zanja P/Tuberías de Hasta 20 cm de Ancho</t>
  </si>
  <si>
    <t>Excavación en Zanja P/Tuberías de Hasta 30 cm de Ancho</t>
  </si>
  <si>
    <t>Rehincho y Atesado con Tierra de Tuberías Eléctricas</t>
  </si>
  <si>
    <t>Hacer Cajuelas en Pared para Cajitas de 4x2"</t>
  </si>
  <si>
    <t>Colocación de Tuberías PVC Empotrada en Pared de Ø 1/2"</t>
  </si>
  <si>
    <t>Colocación de Tuberías PVC Empotrada en Placa de Ø 1/2"</t>
  </si>
  <si>
    <t>Colocación de Tuberías PVC Oculta en Falso Techo de Ø 1/2"</t>
  </si>
  <si>
    <t>Colocación de Tuberías PVC Oculta en Bajo Tierra de Ø 1/2"</t>
  </si>
  <si>
    <t>Colocación de Tuberías PVC Empotrad en Pared de Ø 3/4"</t>
  </si>
  <si>
    <t>Colocación de Tuberías PVC Empotrad en Placa de Ø 3/4"</t>
  </si>
  <si>
    <t>Colocación de Tuberías PVC Oculta en Techo de Ø 3/4"</t>
  </si>
  <si>
    <t>Colocación de Tuberías PVC Oculta Bajo Tierra de Ø 3/4"</t>
  </si>
  <si>
    <t>Colocación de Canaleta Eléctrica PVC en Pared</t>
  </si>
  <si>
    <t>Colocación de Canaleta Eléctrica PVC en Techo</t>
  </si>
  <si>
    <t>Colocación de Cajas Eléctrica de 2x4" en Pared</t>
  </si>
  <si>
    <t>Colocación de Cajas Eléctrica de 4x4" en Placa o Falso techo</t>
  </si>
  <si>
    <t>Colocación de Cables Eléctricos Rollatd Cold</t>
  </si>
  <si>
    <t>Colocación de Interruptor Sencillo</t>
  </si>
  <si>
    <t>Colocación de Interruptor Doble</t>
  </si>
  <si>
    <t>Colocación de Interruptor Triple</t>
  </si>
  <si>
    <t>Colocación de Tomacorriente Sencillo</t>
  </si>
  <si>
    <t>Colocación de Tomacorriente Doble</t>
  </si>
  <si>
    <t>Colocación de Tomacorriente Triple</t>
  </si>
  <si>
    <t>Colocación de Breaker de 1 Polo</t>
  </si>
  <si>
    <t>Colocación de Breaker de 2 Polo</t>
  </si>
  <si>
    <t>Colocación de Breaker de 3 Polo</t>
  </si>
  <si>
    <t>Colocación de Lámpara Fluorescente de 1x18 W</t>
  </si>
  <si>
    <t>Colocación de Lámpara Fluorescente de 2x18 W</t>
  </si>
  <si>
    <t>Colocación de Lámpara Fluorescente de 4x18 W</t>
  </si>
  <si>
    <t>Colocación de Lámpara Fluorescente de 1x32 W</t>
  </si>
  <si>
    <t>Colocación de Lámpara Fluorescente de 2x32 W</t>
  </si>
  <si>
    <t>Colocación de Lámparas de 2 brazos o más (De 2 a 3m de altura)</t>
  </si>
  <si>
    <t>Montaje de Luminaria Tipo Plafón</t>
  </si>
  <si>
    <t>Montaje de Aplique en Pared</t>
  </si>
  <si>
    <t>Colocación de Soket y Bombillo Ahorrador</t>
  </si>
  <si>
    <t>Elaboración y Montaje de Panel Eléctrico (Pequeño)</t>
  </si>
  <si>
    <t>Elaboración y Montaje de Panel Eléctrico (Mediano)</t>
  </si>
  <si>
    <t>Elaboración y Montaje de Panel Eléctrico (Grande)</t>
  </si>
  <si>
    <t>Instalación Eléctrica de Turbina</t>
  </si>
  <si>
    <t>Montaje de Líneas a Postes Eléctricos</t>
  </si>
  <si>
    <t>Desmonte de Ventilador de Techo</t>
  </si>
  <si>
    <t>Montaje de Ventilador de Techo</t>
  </si>
  <si>
    <t>Montaje de Ventilador de Pared</t>
  </si>
  <si>
    <t>Terminaciones y Conexiones</t>
  </si>
  <si>
    <t>Revisión General de Instalaciones Eléctricas</t>
  </si>
  <si>
    <t>ENCOFRADOS 007</t>
  </si>
  <si>
    <t>Encofrado Viga Zapata</t>
  </si>
  <si>
    <t>Encofrado Viga Cerramiento</t>
  </si>
  <si>
    <t>Encofrado de Cerramiento</t>
  </si>
  <si>
    <t>Encofrado en Losa Plana</t>
  </si>
  <si>
    <t xml:space="preserve">Encofrado de Meseta </t>
  </si>
  <si>
    <t xml:space="preserve">Encofrado de Pedestal </t>
  </si>
  <si>
    <t>Encofrado de Columnas</t>
  </si>
  <si>
    <t>Encofrado en Cubierta</t>
  </si>
  <si>
    <t>Desencofre de Cerramiento y Zapata</t>
  </si>
  <si>
    <t>Encofrado en Muro de Hormigón</t>
  </si>
  <si>
    <t>Encofrado en Base de Luminarias</t>
  </si>
  <si>
    <t xml:space="preserve">Encofrado en Pisos </t>
  </si>
  <si>
    <t>Encofrado en Aceras</t>
  </si>
  <si>
    <t>Encofre de Plato en Cimiento Aislado</t>
  </si>
  <si>
    <t>Encofre en Viga de Zapata</t>
  </si>
  <si>
    <t>Encofre en Cerramientos</t>
  </si>
  <si>
    <t>Encofre en Losa de Hormigón Armado</t>
  </si>
  <si>
    <t>Encofre de Piso o Pavimento de Hormigón hasta 0.15 de Espesor</t>
  </si>
  <si>
    <t>Desencofre de Plato de Cimiento Aislado</t>
  </si>
  <si>
    <t>Desencofre de Pedestal</t>
  </si>
  <si>
    <t>Desencofre de Viga de Zapata</t>
  </si>
  <si>
    <t>Desencofre de Columnas</t>
  </si>
  <si>
    <t>Desencofre de Cerramientos</t>
  </si>
  <si>
    <t>Desencofre de Losa de Hormigón Armado</t>
  </si>
  <si>
    <t>Desencofre de Piso o Pavimento de Hormigón hasta 0.15 m de Espesor</t>
  </si>
  <si>
    <t>ENCHAPES 008</t>
  </si>
  <si>
    <t>Enchape de Mármol y Jaimanitas</t>
  </si>
  <si>
    <t>Enchape de Gres Cerámico</t>
  </si>
  <si>
    <t>Corte de Losa</t>
  </si>
  <si>
    <t>Colocación de Jaimanitas</t>
  </si>
  <si>
    <t>Demolición de Enchapes</t>
  </si>
  <si>
    <t>Demolición de Grey Cerámico</t>
  </si>
  <si>
    <t>Desconche de Enchape</t>
  </si>
  <si>
    <t>Decoración a Relieve</t>
  </si>
  <si>
    <t>Colocación de Cintillo</t>
  </si>
  <si>
    <t>Enchape de Pared o Meseta con Losa de Gres Cerámico o Azulejos</t>
  </si>
  <si>
    <t>Enchape de Pared o Meseta con Losa de Mármol o Baldosas</t>
  </si>
  <si>
    <t>Enchape de Pared con Lajas o Piedra Naturales</t>
  </si>
  <si>
    <t>Enchape de Alero con Losas de Gres Cerámico o Azulejos</t>
  </si>
  <si>
    <t>Enchape de Columnas o Vigas con Losas de Gres Cerámico o Azulejos</t>
  </si>
  <si>
    <t>Enchape de Columnas o Vigas con Losas de Mármol o Baldosa</t>
  </si>
  <si>
    <t>Enchape de Columnas o Vigas con Lajas o Piedra Naturales</t>
  </si>
  <si>
    <t>ELABORACION Y COLOCACIÓN DE ACERO 009</t>
  </si>
  <si>
    <t>Elaboración de Aros</t>
  </si>
  <si>
    <t>Colocación de Aros</t>
  </si>
  <si>
    <t>Elaboración Jaula Viga Cerramiento</t>
  </si>
  <si>
    <t>Colocación de Acero para Cerramiento</t>
  </si>
  <si>
    <t>Elaboración Jaula Viga Zapata</t>
  </si>
  <si>
    <t>Colocación de Acero</t>
  </si>
  <si>
    <t xml:space="preserve">Elaboración de platinas para verjas </t>
  </si>
  <si>
    <t>Colocación de verjas de platinas</t>
  </si>
  <si>
    <t xml:space="preserve">Elaboración de Acero para Columnas </t>
  </si>
  <si>
    <t>Colocación de Acero para Columnas</t>
  </si>
  <si>
    <t>Elaboración de Acero para Cubierta</t>
  </si>
  <si>
    <t>Elaboración de Acero Losa Plana (Meseta)</t>
  </si>
  <si>
    <t>Colocación de Acero de Cubierta</t>
  </si>
  <si>
    <t>Elaboración de Acero para Estantes</t>
  </si>
  <si>
    <t>Colocación de Acero para Estantes</t>
  </si>
  <si>
    <t>Corte de Acero y otros</t>
  </si>
  <si>
    <t>Elaboración de Acero en Plato</t>
  </si>
  <si>
    <t>Colocación de Acero en Plato</t>
  </si>
  <si>
    <t>Elaboración de Acero en Pedestal</t>
  </si>
  <si>
    <t>Colocación de Acero en Pedestal</t>
  </si>
  <si>
    <t>Elaboración de Aros Acero hasta 2 Dobleces</t>
  </si>
  <si>
    <t>Elaboración de Aros Acero hasta 4 Dobleces</t>
  </si>
  <si>
    <t>Elaboración de Aros Acero hasta 6 Dobleces</t>
  </si>
  <si>
    <t>Colocación de Aros de acero de hasta 2 Dobleces</t>
  </si>
  <si>
    <t>Colocación de Aros de Acero de hasta 4 Dobleces</t>
  </si>
  <si>
    <t>Colocación de Aros de Acero de hasta 6 Dobleces</t>
  </si>
  <si>
    <t>Elaboración de Acero en Plato de Cimiento Aislado (Plato)</t>
  </si>
  <si>
    <t>Colocación de Acero en Plato de Cimiento Aislado</t>
  </si>
  <si>
    <t>Elaboración de Barras de Acero en Pedestal</t>
  </si>
  <si>
    <t>Colocación de Barras de Acero en Pedestal</t>
  </si>
  <si>
    <t>Elaboración de Acero en Viga de Zapata</t>
  </si>
  <si>
    <t>Colocación de Acero en Viga de Zapata</t>
  </si>
  <si>
    <t>Elaboración de Acero en Columnas</t>
  </si>
  <si>
    <t>Colocación de Acero en Columnas</t>
  </si>
  <si>
    <t>Elaboración de Acero en Vigas y Cerramientos</t>
  </si>
  <si>
    <t>Colocación de Acero en Vigas y Cerramientos</t>
  </si>
  <si>
    <t>Elaboración de Acero en Losa de Hormigón Armado</t>
  </si>
  <si>
    <t>Colocación de Acero en Losa de Hormigón Armado</t>
  </si>
  <si>
    <t>Elaboración y Colocación de Barras de Acero en Muros</t>
  </si>
  <si>
    <t>EXCAVACIONES 010</t>
  </si>
  <si>
    <t>Excavación de Zanjas</t>
  </si>
  <si>
    <t>Excavación en Tierra</t>
  </si>
  <si>
    <t>Excavación en Foso Manual (Cisterna, Cimiento, Tanque Séptico)</t>
  </si>
  <si>
    <t>Rehincho (Cisterna, Cimiento, Tanque Séptico)</t>
  </si>
  <si>
    <t>Desbroce de Capa Vegetal de Tierra hasta 10 cm de Profundidad</t>
  </si>
  <si>
    <t>Construcción de Valla de Replanteo para Cimentación</t>
  </si>
  <si>
    <t>Excavación en Tierra para Cimiento Ciclópeo hasta 0.6 mts de Profundidad</t>
  </si>
  <si>
    <t>Excavación en Tierra para Zapata 0.5 mts de Profundidad</t>
  </si>
  <si>
    <t>Rehincho y Atesado entre Zapata con Tierra</t>
  </si>
  <si>
    <t>Excavación en Tierra P/Construc. de Cisterna o Tanque Séptico hasta 1.50 m Profund.</t>
  </si>
  <si>
    <t>Perfilación del Terreno P/contruc. de Cisterna o Tanque Séptico hasta 1.50 m Profund.</t>
  </si>
  <si>
    <t>Excavación en Tierra P/Construc. de Cisterna o Tanque Séptico hasta 2.50 m Profund.</t>
  </si>
  <si>
    <t>Perfilación del Terreno P/Contruc. de Cisterna o Tanque Séptico hasta 2.50 m Profund.</t>
  </si>
  <si>
    <t>Nivelación del Terreno P/Contruc. de Cisterna o Tanque Séptico hasta 0.15 m Profund.</t>
  </si>
  <si>
    <t>Rehincho y Atesado Entre Muros de Cisterna o Tanque Séptico</t>
  </si>
  <si>
    <t>Excavación en Tierra para Cimiento Aislado hasta 1.0 m de Profundidad</t>
  </si>
  <si>
    <t>Excavación en Tierra Para Cimiento Aislado hasta 2.0 m de Profundidad</t>
  </si>
  <si>
    <t>Perfilación de Terreno P/Construc. de Cimiento Aislado hasta 1.0 m de Profund.</t>
  </si>
  <si>
    <t>Perfilación de Terreno P/Construc. de Cimiento Aislado hasta 1.50 m de Profund.</t>
  </si>
  <si>
    <t>Rehincho y Atesado en Cimiento Aislado hasta 1.0 m2 de Sección</t>
  </si>
  <si>
    <t>Rehincho y Atesado en Cimiento Aislado hasta 2.0 m2 de Sección</t>
  </si>
  <si>
    <t>Nivelación de Terreno con Tierra P/Construcción de Pisos y Aceras de Hormigón</t>
  </si>
  <si>
    <t>FUNDICIONES 011</t>
  </si>
  <si>
    <t>Fundición de Viga Cerramiento</t>
  </si>
  <si>
    <t>Fundición de Hormigón Ciclópeo</t>
  </si>
  <si>
    <t>Fundición de Viga Zapata</t>
  </si>
  <si>
    <t xml:space="preserve">Fundición de Platos </t>
  </si>
  <si>
    <t>Fundición de Columnas</t>
  </si>
  <si>
    <t>Fundición de Prepiso de Hormigón</t>
  </si>
  <si>
    <t>Fundición de Meseta de Mostrador</t>
  </si>
  <si>
    <t>Fundición de Contén</t>
  </si>
  <si>
    <t>Fundición de Acera</t>
  </si>
  <si>
    <t>Fundición de Pedestal</t>
  </si>
  <si>
    <t>Fundición de Hormigón Armado en Losa Plana</t>
  </si>
  <si>
    <t>Fundición de Estantes</t>
  </si>
  <si>
    <t>Demolición de Columnas Hormigón Armado</t>
  </si>
  <si>
    <t>Demolición de Aceras y Contenes</t>
  </si>
  <si>
    <t>Demolición de Losas Planas de Hormigón Armado</t>
  </si>
  <si>
    <t xml:space="preserve">Elaboración y Vertido de Hormigón en Columnas </t>
  </si>
  <si>
    <t xml:space="preserve">Elaboración y Vertido de Hormigón </t>
  </si>
  <si>
    <t>Fundición de Muros de Hormigón Simple</t>
  </si>
  <si>
    <t>Fundición de Muros de Hormigón Armado</t>
  </si>
  <si>
    <t>Fundición de Piso de Hormigón</t>
  </si>
  <si>
    <t>Fundición de Acera (Incluye Marcado y Rallado)</t>
  </si>
  <si>
    <t>Elaboración y Vertido de Hormigón en Cimiento Ciclópeo (Corrido)</t>
  </si>
  <si>
    <t>Elaboración y Vertido de Hormigón en Cimiento Ciclópeo (Tacón)</t>
  </si>
  <si>
    <t>Elaboración y Vertido de Hormigón en Cimiento Aislado</t>
  </si>
  <si>
    <t>Elaboración y Vertido de Hormigón en Cimiento en Pedestal</t>
  </si>
  <si>
    <t>Elaboración y Vertido de Hormigón en Viga de Zapata</t>
  </si>
  <si>
    <t>Elaboración y Vertido de Hormigón en Columnas</t>
  </si>
  <si>
    <t>Elaboración y Vertido de Hormigón en Viga de Cerramientos</t>
  </si>
  <si>
    <t>Elaboración y Vertido de Hormigón en Losa de Hormigón Armado</t>
  </si>
  <si>
    <t>Elaboración y Vertido de Hormigón en Piso o Acera de Hormigón Armado hasta 0.15 m Espesor</t>
  </si>
  <si>
    <t>Sello de Hormigón para Cimientos Aislados hasta 5 cm de Espesor</t>
  </si>
  <si>
    <t>Sello de Hormigón para Nivelación de Fondo de Cisterna o Tanque Séptico</t>
  </si>
  <si>
    <t>Terminación de Superficie de Hormigón a Flota Gruesa</t>
  </si>
  <si>
    <t>Demolición de Losa de Hormigón hasta 0.12 m de Espesor</t>
  </si>
  <si>
    <t>Demolición de Losa de Hormigón hasta 0.20 m de Espesor</t>
  </si>
  <si>
    <t>Demolición de Piso o Acera de Hormigón hasta 0.12 m de Espesor</t>
  </si>
  <si>
    <t>Demolición de Columna de Hormigón Armado hasta 25x25 cm de Sección</t>
  </si>
  <si>
    <t>Demolición de Viga o Cerramiento de Hormigón Armado hasta 25x25 cm de Sección</t>
  </si>
  <si>
    <t>Elaboración de Meseta de Hormigón Armado C/Lavamanos en Baño</t>
  </si>
  <si>
    <t>Construcción de Acera de Hormigón hasta 0.12 m de Espesor</t>
  </si>
  <si>
    <t>Prepiso de Mortero de Cemento y Arena hasta 5 cm de Espesor</t>
  </si>
  <si>
    <t>Construcción de Piso de Hormigón hasta 0.10 cm de Espesor</t>
  </si>
  <si>
    <t>INSTALACIONES HIDRO SANITARIAS 012</t>
  </si>
  <si>
    <t>Colocación de Juego de Baños con Accesorio</t>
  </si>
  <si>
    <t>Colocación de Mueble Sanitario</t>
  </si>
  <si>
    <t>Colocación de Tanque Sanitario</t>
  </si>
  <si>
    <t>Instalación de Tuberías 1/2</t>
  </si>
  <si>
    <t>Instalación de Tuberías 3/4</t>
  </si>
  <si>
    <t xml:space="preserve">Instalación de Tuberías 1" </t>
  </si>
  <si>
    <t>Instalación de Codos 1/2 X 90°</t>
  </si>
  <si>
    <t>Instalación de Tee de 1/2</t>
  </si>
  <si>
    <t>Instalación de Reducidos 3/4 X1/2</t>
  </si>
  <si>
    <t>Instalación de Codos de 3/4</t>
  </si>
  <si>
    <t>Instalación de Tee de 3/4</t>
  </si>
  <si>
    <t>Instalación Unión Universal de 1/2</t>
  </si>
  <si>
    <t>Instalación Unión Universal de 3/4</t>
  </si>
  <si>
    <t xml:space="preserve">Instalación de Codos de 1" </t>
  </si>
  <si>
    <t xml:space="preserve">Instalación de Tee de 1" </t>
  </si>
  <si>
    <t>Instalación de Tanque Elevado</t>
  </si>
  <si>
    <t>Instalación de Turbinas</t>
  </si>
  <si>
    <t xml:space="preserve">Instalación Tuberías de 110mm </t>
  </si>
  <si>
    <t>Instalación de Tuberías de 75mm</t>
  </si>
  <si>
    <t>Instalación de Tuberías de 50 Mm</t>
  </si>
  <si>
    <t>Instalación de Codos de 50 Mm</t>
  </si>
  <si>
    <t>Instalación de T de 50 Mm</t>
  </si>
  <si>
    <t>Instalación de Reducidos 110 Mm X 50 Mm</t>
  </si>
  <si>
    <t>Instalación de Yee de 1"</t>
  </si>
  <si>
    <t xml:space="preserve">Desinstalar Tubería de 1500 mm </t>
  </si>
  <si>
    <t xml:space="preserve">Desmonte de Lavamanos </t>
  </si>
  <si>
    <t>Desmonte de Tanque Sanitarios</t>
  </si>
  <si>
    <t>Desmonte de Tasa Sanitaria</t>
  </si>
  <si>
    <t xml:space="preserve">Desmonte de Fregaderos </t>
  </si>
  <si>
    <t>Colocación de Herraje para Lavamanos</t>
  </si>
  <si>
    <t>Colocación de Fregadero</t>
  </si>
  <si>
    <t>Colocación de Reducido 3/4x1/2</t>
  </si>
  <si>
    <t>Colocación de Codo de 3/4</t>
  </si>
  <si>
    <t>Colocación de TEE de 3/4"</t>
  </si>
  <si>
    <t>Colocación de Unión Universal de 1/2"</t>
  </si>
  <si>
    <t>Colocación de Unión Universal de 3/4"</t>
  </si>
  <si>
    <t>Colocación de Codo de 1”</t>
  </si>
  <si>
    <t xml:space="preserve">Colocación de TEE de 1” </t>
  </si>
  <si>
    <t>Colocación de Tuberías de 2”</t>
  </si>
  <si>
    <t>Colocación de Tuberías de 75 mm</t>
  </si>
  <si>
    <t>Colocación de Tuberías de 50 mm</t>
  </si>
  <si>
    <t>Colocación de Codo de 50 mm</t>
  </si>
  <si>
    <t>Colocación de TEE de 50 mm</t>
  </si>
  <si>
    <t>Colocación de Reducido 110x50 mm</t>
  </si>
  <si>
    <t xml:space="preserve">Colocación de YEE de 1” </t>
  </si>
  <si>
    <t xml:space="preserve">Demolición de Canal Fluvial Metálico </t>
  </si>
  <si>
    <t>Explorar Instalaciones Hidro Sanitarias</t>
  </si>
  <si>
    <t>Prueba hidráulica</t>
  </si>
  <si>
    <t>Tapar Ranura Hidro Sanitarias</t>
  </si>
  <si>
    <t>Colocación de Llave de Paso de 1/2"</t>
  </si>
  <si>
    <t>Colocación de Llave de Paso de 3/4"</t>
  </si>
  <si>
    <t>Colocación de Llaves de Derrames</t>
  </si>
  <si>
    <t>Ranurado en Pared para Instalaciones Hidro Sanitarias</t>
  </si>
  <si>
    <t>Ranurado en Piso de Hormigón</t>
  </si>
  <si>
    <t>Pase en Vigas de Zapata u Otro Elemento de Hormigón Armado</t>
  </si>
  <si>
    <t>Excavación en Zanja P/Tuberías de hasta 20 cm de Ancho</t>
  </si>
  <si>
    <t>Relleno y Atesado C/Tierra en Zanja P/Tubería Hasta 20 cm de Ancho</t>
  </si>
  <si>
    <t>Excavación en Zanja P/Tuberías de hasta 30 cm de Ancho</t>
  </si>
  <si>
    <t>Relleno y Atesado C/Tierra en Zanja P/Tubería Hasta 30 cm de Ancho</t>
  </si>
  <si>
    <t>Desmonte de Tubería en Línea de Ø 1/2"</t>
  </si>
  <si>
    <t>Desmonte de Tubería en Línea de Ø 3/4"</t>
  </si>
  <si>
    <t>Desmonte de Tubería en Línea de Ø 1"</t>
  </si>
  <si>
    <t>Desmonte de Tubería en Línea de Ø 1 1/4" a 2"</t>
  </si>
  <si>
    <t>Desinstalar Piezas Hidráulicas (Codos, Tee, Uniones, Etc…)</t>
  </si>
  <si>
    <t>Desinstalar Piezas Sanitarias (Codos, Tee, Uniones, Etc…)</t>
  </si>
  <si>
    <t>Desmontar Tasa Sanitaria con Herrajes</t>
  </si>
  <si>
    <t>Desmontar Lavamanos con Herrajes</t>
  </si>
  <si>
    <t>Desmontar Fregadero con Herrajes</t>
  </si>
  <si>
    <t>Desmontar Llave de Fregadero Cuello de Ganso</t>
  </si>
  <si>
    <t>Desmontar Llave de Derrame</t>
  </si>
  <si>
    <t>Desmontar Llave de Paso</t>
  </si>
  <si>
    <t>Desmontar Llave de ángulo</t>
  </si>
  <si>
    <t>Colocación de Tubería en Línea de PVC de  Ø 100-150 mm</t>
  </si>
  <si>
    <t>Colocación de Tubería en Línea de PVC de  Ø 75 mm</t>
  </si>
  <si>
    <t>Colocación de Tubería en Línea de PVC de  Ø 50 mm</t>
  </si>
  <si>
    <t>Colocación de Tubería Hidráulica de  Ø 1/2"</t>
  </si>
  <si>
    <t>Colocación de Tubería Hidráulica de  Ø 3/4"</t>
  </si>
  <si>
    <t>Colocación de Tubería Hidráulica de  Ø 1"</t>
  </si>
  <si>
    <t>Colocación de Tubería Hidráulica de  Ø 1 1/4" - 1 1/2"</t>
  </si>
  <si>
    <t>Colocación de Manguera Hidráulica de  Ø 1/2" -  3/4"</t>
  </si>
  <si>
    <t>Colocación de Manguera Hidráulica de  Ø 1" -  1 1/2"</t>
  </si>
  <si>
    <t>Hacer Rosca a Tubería de PPUR Ø 1 1/4" - 1 1/2"</t>
  </si>
  <si>
    <t xml:space="preserve">Hacer Rosca a Tubería de PPUR Ø 1 </t>
  </si>
  <si>
    <t>Hacer Rosca a Tubería de PPUR Ø 3/4"</t>
  </si>
  <si>
    <t>Hacer Rosca a Tubería de PPUR Ø 1/2"</t>
  </si>
  <si>
    <t>Hacer Rosca a Tubería de Hierro Ø 1 1/4" - 1 1/2"</t>
  </si>
  <si>
    <t xml:space="preserve">Hacer Rosca a Tubería de Hierro Ø 1 </t>
  </si>
  <si>
    <t>Hacer Rosca a Tubería de Hierro Ø 3/4"</t>
  </si>
  <si>
    <t>Hacer Rosca a Tubería de Hierro Ø 1/2"</t>
  </si>
  <si>
    <t>Instalaciones Sanitarias en Baño</t>
  </si>
  <si>
    <t>Instalaciones Sanitarias en Pantry y Cocina</t>
  </si>
  <si>
    <t>Instalaciones Sanitarias en Fregadero o Vertedero</t>
  </si>
  <si>
    <t>Instalaciones Hidráulicas en Baño</t>
  </si>
  <si>
    <t>Instalación Hidráulica en Pantry y Cocina</t>
  </si>
  <si>
    <t>Instalación Hidráulica en Fregadero y Vertedero</t>
  </si>
  <si>
    <t>Instalación Hidráulica en Salida de Tanques</t>
  </si>
  <si>
    <t>Instalación Hidráulica en Salida de Turbina</t>
  </si>
  <si>
    <t>Colocación de Llave de Fregadero Cuello de Ganso</t>
  </si>
  <si>
    <t>Colocación de Llave de Derrame</t>
  </si>
  <si>
    <t>Colocación de Llave de Paso</t>
  </si>
  <si>
    <t>Colocación de Llave de Ángulo</t>
  </si>
  <si>
    <t>Colocación de Llave de Empotrar de Ducha</t>
  </si>
  <si>
    <t>Colocación de Latiguillo</t>
  </si>
  <si>
    <t>Colocación de Llave de Cierre (Flotante)</t>
  </si>
  <si>
    <t>Colocar Piezas Hidráulicas (Codos, Tee, Uniones Etc…)</t>
  </si>
  <si>
    <t>Colocar Piezas Sanitarias (Codos, Tee, Uniones Etc…)</t>
  </si>
  <si>
    <t>Montaje de Tasa Sanitaria con Herrajes</t>
  </si>
  <si>
    <t>Montaje de Lavamanos con Herrajes</t>
  </si>
  <si>
    <t>Montaje de fregaderos con Herrajes</t>
  </si>
  <si>
    <t>Desmontaje de Cheque de Succión en Cisterna</t>
  </si>
  <si>
    <t>Montaje de Cheque de Succión en Cisterna</t>
  </si>
  <si>
    <t>Desmontaje de Bomba de Agua (Turbina)</t>
  </si>
  <si>
    <t>Montaje de Bomba de Agua (Turbina)</t>
  </si>
  <si>
    <t>Reparación de Sello de Turbina</t>
  </si>
  <si>
    <t>Colocación de Sifa de Piso</t>
  </si>
  <si>
    <t>Colocación de Sifón de Piso</t>
  </si>
  <si>
    <t>Colocación de Rejilla de Piso</t>
  </si>
  <si>
    <t>Cambiar Herrajes en Tasa Sanitaria</t>
  </si>
  <si>
    <t>Cambiar Herrajes en Lavamanos</t>
  </si>
  <si>
    <t>Montaje de Poma de Ducha</t>
  </si>
  <si>
    <t>Montaje de Ducha Eléctrica C/Accesorios y Breaker</t>
  </si>
  <si>
    <t>Instalación Hidráulica en Tanque Elevado (Entrada y Salida)</t>
  </si>
  <si>
    <t>Elaboración y Montaje de Desagüe en Techo C/Tubería PVC de 1" a 2"</t>
  </si>
  <si>
    <t>Exploración Sanitaria o Hidráulica</t>
  </si>
  <si>
    <t>Recubrir C/Hormigón Tubería en Línea PVC Ø 50 - 75 mm</t>
  </si>
  <si>
    <t>Recubrir C/Hormigón Tubería en Línea PVC Ø 100 - 150 mm</t>
  </si>
  <si>
    <t>PINTURA 013</t>
  </si>
  <si>
    <t xml:space="preserve">Pintura Impermeable en Cubierta </t>
  </si>
  <si>
    <t>Pintura Vinil en Pared</t>
  </si>
  <si>
    <t>Pintura en Placa</t>
  </si>
  <si>
    <t>Pintura de Aceite en Columna</t>
  </si>
  <si>
    <t>Pintura de Aceite en Purling</t>
  </si>
  <si>
    <t>Pintura de Aceite en Tejas</t>
  </si>
  <si>
    <t>Pintura de Aceite en Madera</t>
  </si>
  <si>
    <t>Pintura de Aceite en Verjas y Cerchas</t>
  </si>
  <si>
    <t>Pintura Vinil en Columna</t>
  </si>
  <si>
    <t>Pintura Impermeable en Piso</t>
  </si>
  <si>
    <t>Pintura Sobre Metal</t>
  </si>
  <si>
    <t>Pintura Vinyl en Cerramiento</t>
  </si>
  <si>
    <t>Pintura Aceite en Pared</t>
  </si>
  <si>
    <t>Raspado de Pintura en Pared</t>
  </si>
  <si>
    <t>Raspado de Pintura en Placa</t>
  </si>
  <si>
    <t>Raspado de Pintura Sobre Metales</t>
  </si>
  <si>
    <t>Raspado de Pintura Sobre Madera</t>
  </si>
  <si>
    <t>Preparación de Superficie Sobre Mampostería</t>
  </si>
  <si>
    <t>Preparación de superficie sobre mampostería interior hasta 3 mts de altura</t>
  </si>
  <si>
    <t>Preparación de Superficie Sobre Madera</t>
  </si>
  <si>
    <t>Limpieza de Superficie con Escoba y Paño</t>
  </si>
  <si>
    <t>Limpieza de Superficie con Agua a Presión</t>
  </si>
  <si>
    <t>Masilla y Lija en Pared</t>
  </si>
  <si>
    <t>Masilla y Lija en Placa</t>
  </si>
  <si>
    <t>Masilla y Lija en Carpintería</t>
  </si>
  <si>
    <t>Pintura de Aparejo con Cal o Cementosa en Placa (1 Mano)</t>
  </si>
  <si>
    <t>Pintura de Aparejo con Cal o Cementosa en Placa (2 Manos)</t>
  </si>
  <si>
    <t>Pintura de Aparejo con Cal o Cementosa en Pared (1 Mano)</t>
  </si>
  <si>
    <t>Pintura de Aparejo con Cal o Cementosa en Pared (2 Manos)</t>
  </si>
  <si>
    <t>Pintura de Vinyl en Pared con Repello Fino Interior (1 Mano)</t>
  </si>
  <si>
    <t>Pintura de Vinyl en Pared con Repello Fino Interior (2 Manos)</t>
  </si>
  <si>
    <t>Pintura de Vinyl en pared con repello fino interior hasta 3 mts de altura (2 manos)</t>
  </si>
  <si>
    <t>Pintura de Vinyl en placa con repello fino hasta 3 mts de altura (2 manos)</t>
  </si>
  <si>
    <t>Pintura de Vinyl en Placa con Repello Fino Interior (1 Mano)</t>
  </si>
  <si>
    <t>Pintura de Vinyl en Placa con Repello Fino Interior (2 Manos)</t>
  </si>
  <si>
    <t>Pintura de Vinyl en Pared con Repello Fino Exterior (1 Mano)</t>
  </si>
  <si>
    <t>Pintura de Vinyl en Pared con Repello Fino Exterior (2 Manos)</t>
  </si>
  <si>
    <t>Pintura de Vinyl en Placa con Repello Fino Exterior (1 Mano)</t>
  </si>
  <si>
    <t>Pintura de Vinyl en Placa con Repello Fino Exterior (2 Manos)</t>
  </si>
  <si>
    <t>Pintura de Vinyl en Aleros con Repello Fino Exterior (1 Mano)</t>
  </si>
  <si>
    <t>Pintura de Vinyl en Aleros con Repello Fino Exterior (2 Manos)</t>
  </si>
  <si>
    <t>Pintura de Vinyl o Aceite en Pared S/Repello Rústico Interior (1 Mano)</t>
  </si>
  <si>
    <t>Pintura de Vinyl o Aceite en Pared S/Repello Rústico Interior (2 Manos)</t>
  </si>
  <si>
    <t>Pintura de Vinyl o Aceite en Pared S/Repello Rústico Exterior (1 Mano)</t>
  </si>
  <si>
    <t>Pintura de Vinyl o Aceite en Pared S/Repello Rústico Exterior (2 Manos)</t>
  </si>
  <si>
    <t>Pintura de Vinyl o Aceite en Pasamanos de Barandas (1 Mano)</t>
  </si>
  <si>
    <t>Pintura de Vinyl o Aceite en Pasamanos de Barandas (2 Manos)</t>
  </si>
  <si>
    <t>Pintura de Vinyl en Falso Techo de Madera o Cartón (1 Mano)</t>
  </si>
  <si>
    <t>Pintura de Vinyl en Falso Techo de Madera o Cartón (2 Manos)</t>
  </si>
  <si>
    <t>Pintura de Vinyl en Pared de Madera o Cartón (1 Mano)</t>
  </si>
  <si>
    <t>Pintura de Vinyl en Pared de Madera o Cartón (2 Manos)</t>
  </si>
  <si>
    <t>Pintura de Vinyl en Carpintería (1 Mano)</t>
  </si>
  <si>
    <t>Pintura de Vinyl en Carpintería (2 Manos)</t>
  </si>
  <si>
    <t>Pintura de Aceite en Carpintería (1 Mano)</t>
  </si>
  <si>
    <t>Pintura de Aceite en Carpintería (2 Manos)</t>
  </si>
  <si>
    <t>Pintura de Esmalte sobre madera en puerta interior (dos manos)</t>
  </si>
  <si>
    <t>Pintura de Aceite Sobre Metales (1 Mano)</t>
  </si>
  <si>
    <t>Pintura de Aceite Sobre Metales (2 Manos)</t>
  </si>
  <si>
    <t>Pintura de Aceite en Rejas Metálicas (1 Mano)</t>
  </si>
  <si>
    <t>Pintura de Aceite en Rejas Metálicas (2 Manos)</t>
  </si>
  <si>
    <t>Pintura Impermeable sobre Cubierta (1 Mano)</t>
  </si>
  <si>
    <t>Pintura Impermeable sobre Cubierta (2 Manos)</t>
  </si>
  <si>
    <t>Colocar Malla Plástica para Pintura Impermeable</t>
  </si>
  <si>
    <t>Pintura Impermeable o Aceite sobre Piso (1 Mano)</t>
  </si>
  <si>
    <t>Pintura Impermeable o Aceite sobre Piso (2 Manos)</t>
  </si>
  <si>
    <t>Pintura Impermeable en tanque elevado</t>
  </si>
  <si>
    <t>Barnizado de Superficies Lisas de Madera (1 Mano)</t>
  </si>
  <si>
    <t>Barnizado de Superficies Lisas de Madera (2 Manos)</t>
  </si>
  <si>
    <t>Barnizado de Superficies Rugosas o Curvas de Madera (1 Mano)</t>
  </si>
  <si>
    <t>Barnizado de Superficies Rugosas o Curvas de Madera (2 Manos)</t>
  </si>
  <si>
    <t>SALPICADOS-REVOQUES Y RESANE FINO 014</t>
  </si>
  <si>
    <t>Resane en Pared de Bloques o Ladrillos</t>
  </si>
  <si>
    <t>Resane Fino en Aleros y Goteras</t>
  </si>
  <si>
    <t>Resane en Aleros y Goteras</t>
  </si>
  <si>
    <t>Resane en Cúpula</t>
  </si>
  <si>
    <t xml:space="preserve">Resane de Columnas y Cerramiento </t>
  </si>
  <si>
    <t>Resane en Losa Plana</t>
  </si>
  <si>
    <t xml:space="preserve">Salpicado </t>
  </si>
  <si>
    <t xml:space="preserve">Salpicado de Columnas y Cerramiento </t>
  </si>
  <si>
    <t>Salpicado Rústico</t>
  </si>
  <si>
    <t>Salpicado en Aleros y Goteras</t>
  </si>
  <si>
    <t>Salpicado en pared de Bloques o Ladrillos</t>
  </si>
  <si>
    <t>Salpicado en Losas Planas</t>
  </si>
  <si>
    <t>Fino en Losa Plana</t>
  </si>
  <si>
    <t>Fino en Aleros y Goteras</t>
  </si>
  <si>
    <t>Fino en Vigas o Columnas</t>
  </si>
  <si>
    <t>Fino en pared de bloques o ladrillos</t>
  </si>
  <si>
    <t>Fino En Cúpula</t>
  </si>
  <si>
    <t>Fino de Columnas y Cerramiento</t>
  </si>
  <si>
    <t>Estuque</t>
  </si>
  <si>
    <t>Demolición de Repello en Muro</t>
  </si>
  <si>
    <t>Construcción de Ochavas</t>
  </si>
  <si>
    <t>Remate de Juntas en  Paredes de Pleicer o Pladur</t>
  </si>
  <si>
    <t>Desconchado en Losas Planas, Vigas y Columnas</t>
  </si>
  <si>
    <t>Desconche de Resane en Placa</t>
  </si>
  <si>
    <t>Desconche de Resano en Pared</t>
  </si>
  <si>
    <t>Desconche de Superficie de Piso de Mortero u Hormigón</t>
  </si>
  <si>
    <t>Desconche de Resano en Vigas y Columnas</t>
  </si>
  <si>
    <t>Repique en Columnas o Cerramiento para Salpique</t>
  </si>
  <si>
    <t>Repique en Placa para Salpique</t>
  </si>
  <si>
    <t>Repique de alero en placa para Salpique</t>
  </si>
  <si>
    <t>Repique de Piso de Mosaicos o Baldosas</t>
  </si>
  <si>
    <t>Repique de Pared para Colocar Enchapes</t>
  </si>
  <si>
    <t>Repique de pared para Colocar Rodapiés</t>
  </si>
  <si>
    <t>Conformación de Vano de Puerta</t>
  </si>
  <si>
    <t>Conformación de Vano de Ventana</t>
  </si>
  <si>
    <t>Conformación de Vano de Aire Acondicionado</t>
  </si>
  <si>
    <t>Salpique en Pared</t>
  </si>
  <si>
    <t>Resane en Pared</t>
  </si>
  <si>
    <t>Resane Fino en Pared</t>
  </si>
  <si>
    <t>Resane Fino en pared hasta 3 mts de altura</t>
  </si>
  <si>
    <t>Salpique en Placa</t>
  </si>
  <si>
    <t>Resane Grueso en Placa</t>
  </si>
  <si>
    <t>Resane Fino en Placa</t>
  </si>
  <si>
    <t>Resane Grueso en Alero hasta 0.15 m de Espesor</t>
  </si>
  <si>
    <t>Resane Fino en Alero hasta 15 cm de Espesor</t>
  </si>
  <si>
    <t>Salpique en Columnas hasta 25x25 cm de Sección</t>
  </si>
  <si>
    <t>Resane Grueso en Columnas hasta 25x25 cm de Sección</t>
  </si>
  <si>
    <t>Resane Fino en Columnas hasta 25x25 cm de Sección</t>
  </si>
  <si>
    <t>Salpique en Vigas y Cerramientos hasta 25x25 cm de Sección</t>
  </si>
  <si>
    <t>Resane Grueso en Vigas y cerramientos hasta 25x25 cm de Sección</t>
  </si>
  <si>
    <t>Resane Fino en vigas y Cerramientos hasta 25x25 cm de Sección</t>
  </si>
  <si>
    <t>Masilla de Yeso en Paredes. Terminación con Lija Fina</t>
  </si>
  <si>
    <t>Masilla de Yeso en Placa. Terminación con Lija Fina</t>
  </si>
  <si>
    <t>Conformación de Bordes de Losas o Sobres con Biselados</t>
  </si>
  <si>
    <t>Conformación de Gotero en Alero o Placa</t>
  </si>
  <si>
    <t>Repello Rústico con cemento Gris en Pared</t>
  </si>
  <si>
    <t>Estuque con Cemento Gris en Pared</t>
  </si>
  <si>
    <t>Estuque con Cemento Gris en Piso</t>
  </si>
  <si>
    <t>Estuque con cemento Gris en Vigas y Columnas</t>
  </si>
  <si>
    <t>Estuque con cemento Gris en Losa de Hormigón</t>
  </si>
  <si>
    <t>Construcción de Dinteles Sobre Puertas o Ventanas</t>
  </si>
  <si>
    <t>Remate de Carpintería con Repello Grueso</t>
  </si>
  <si>
    <t>Remate de Carpintería con Repello Fino</t>
  </si>
  <si>
    <t>Construcción de Ochava con Mezcla y Ladrillos</t>
  </si>
  <si>
    <t xml:space="preserve">Construcción de Ochava con Mezcla </t>
  </si>
  <si>
    <t>Conformación Superior de Muros con Mortero (Línea Recta)</t>
  </si>
  <si>
    <t>Conformación Superior de Muros con Mortero (Escalonado o Redondo)</t>
  </si>
  <si>
    <t>Conformación de Vigas, Columnas o Muros con Mortero (Remate de Bordes)</t>
  </si>
  <si>
    <t>Construcción de Registro Pequeño hasta 40x40 cm (Ladrillo o Bloques)</t>
  </si>
  <si>
    <t>Construcción de Registro Mediano hasta 60x60 cm (Ladrillo o Bloques)</t>
  </si>
  <si>
    <t>Ranurado en Pared Horizontal para Empotrar Tejas de Zinc</t>
  </si>
  <si>
    <t>Reparación de Grietas en Paredes o Losas de Hormigón</t>
  </si>
  <si>
    <t>Reparación de Grietas en Columnas y Cerramientos</t>
  </si>
  <si>
    <t>Reparación de Pretiles y Cornizas (Repique, Resane y Fino)</t>
  </si>
  <si>
    <t>Valor Total</t>
  </si>
  <si>
    <t>LISTADO GENERAL DE MATERIALES</t>
  </si>
  <si>
    <t>Obra:</t>
  </si>
  <si>
    <t>Ubicación:</t>
  </si>
  <si>
    <t>MATERIAL</t>
  </si>
  <si>
    <t>Importe</t>
  </si>
  <si>
    <t>Saldo</t>
  </si>
  <si>
    <t>Cemento gris P-250</t>
  </si>
  <si>
    <t>S (50kg)</t>
  </si>
  <si>
    <t>Cemento gris P-350</t>
  </si>
  <si>
    <t xml:space="preserve">S(42,5kg) </t>
  </si>
  <si>
    <t>Cemento Blanco</t>
  </si>
  <si>
    <t>S(1 kg)</t>
  </si>
  <si>
    <t>Arena Lavada</t>
  </si>
  <si>
    <t>Grava 19,1mm</t>
  </si>
  <si>
    <t>Grava 38,1mm</t>
  </si>
  <si>
    <t>Rajón</t>
  </si>
  <si>
    <t>Polvo de Piedra</t>
  </si>
  <si>
    <t>Hidrato de cal</t>
  </si>
  <si>
    <t>Masilla de cal</t>
  </si>
  <si>
    <t>Yeso de fraguado lento</t>
  </si>
  <si>
    <t>Tierra caliza blanca</t>
  </si>
  <si>
    <t>Acero Ø 10 mm</t>
  </si>
  <si>
    <t>Acero Ø 12 mm</t>
  </si>
  <si>
    <t>Acero Ø 16 mm</t>
  </si>
  <si>
    <t>Alambre No 18</t>
  </si>
  <si>
    <t>Bloques 0,20m</t>
  </si>
  <si>
    <t>Bloques 0,15m</t>
  </si>
  <si>
    <t>Bloques 0,10m</t>
  </si>
  <si>
    <t>Ladrillos corrientes</t>
  </si>
  <si>
    <t>Piedra natural para muros</t>
  </si>
  <si>
    <t>Celosías de hormigón</t>
  </si>
  <si>
    <t>(0,35mx0,35m)</t>
  </si>
  <si>
    <t>(0,25mx0,25m)</t>
  </si>
  <si>
    <t>(0,40mx0,20m)</t>
  </si>
  <si>
    <t>Celosías de Cerámica roja</t>
  </si>
  <si>
    <t>(0,20mx0,20m)</t>
  </si>
  <si>
    <t>(0,18mx0,18m)</t>
  </si>
  <si>
    <t>(0,13mx0,15m)</t>
  </si>
  <si>
    <t>(0,08mx0,16mx0,1m)</t>
  </si>
  <si>
    <t>(0,12mx0,25mx0,1m)</t>
  </si>
  <si>
    <t>Losetas de barro para enchape (0,30mx0,30mx0,025m)</t>
  </si>
  <si>
    <t xml:space="preserve">      (0,15mx0,15mx0,025m)</t>
  </si>
  <si>
    <t>Azulejos 0,15mx0,15m</t>
  </si>
  <si>
    <t xml:space="preserve"> cajas</t>
  </si>
  <si>
    <t>Losas de mármol de 0,20mx0,20mx0,02m</t>
  </si>
  <si>
    <t>para enchape</t>
  </si>
  <si>
    <t xml:space="preserve">      de 0,40mx0,40mx0,02m</t>
  </si>
  <si>
    <t>Piedra natural para enchapes (lajas)</t>
  </si>
  <si>
    <t>Tejas criollas</t>
  </si>
  <si>
    <t>Tejas francesas</t>
  </si>
  <si>
    <t>Soladura para cubiertas(rasillas)</t>
  </si>
  <si>
    <t>Tejas Asbesto cemento</t>
  </si>
  <si>
    <t>Purling 9,0m</t>
  </si>
  <si>
    <t>Losas de mármol</t>
  </si>
  <si>
    <t>0,2mx0,2mx0,02m</t>
  </si>
  <si>
    <t>para pisos</t>
  </si>
  <si>
    <t>0,3mx0,3mx0,02m</t>
  </si>
  <si>
    <t>0,4mx0,4mx0,02m</t>
  </si>
  <si>
    <t>Losas cerámica para piso</t>
  </si>
  <si>
    <t>Mosaicos 0,20mx0,20m</t>
  </si>
  <si>
    <t>Baldosas 0,30mx0,30m</t>
  </si>
  <si>
    <t xml:space="preserve">              0,40mx0,40m</t>
  </si>
  <si>
    <t>Rodapié de mosaicos</t>
  </si>
  <si>
    <t>Rodapié de baldosas</t>
  </si>
  <si>
    <t>Pintura de vinyl</t>
  </si>
  <si>
    <t>gls</t>
  </si>
  <si>
    <t>Pintura de Cal</t>
  </si>
  <si>
    <t>Pintura cementosa</t>
  </si>
  <si>
    <t>sacos</t>
  </si>
  <si>
    <t>Pintura de aceite</t>
  </si>
  <si>
    <t>Pintura anticorrosiva</t>
  </si>
  <si>
    <t>minio</t>
  </si>
  <si>
    <t>oxido rojo</t>
  </si>
  <si>
    <t>rojo</t>
  </si>
  <si>
    <t>Tomacorriente doble 5 amp.</t>
  </si>
  <si>
    <t>Interruptores</t>
  </si>
  <si>
    <t>Tubo PVC 1/2"</t>
  </si>
  <si>
    <t>Canaletas</t>
  </si>
  <si>
    <t>Cable TW 14</t>
  </si>
  <si>
    <t>Cable TW 12</t>
  </si>
  <si>
    <t>Desconesctivo 15 amp</t>
  </si>
  <si>
    <t>Tasa Sanitaria</t>
  </si>
  <si>
    <t>Tanque con tapa</t>
  </si>
  <si>
    <t>Lavamanos</t>
  </si>
  <si>
    <t>Fregadero esmaltado</t>
  </si>
  <si>
    <t>Tubo HoGo 1"</t>
  </si>
  <si>
    <t>Tubo HoGo 3/4"</t>
  </si>
  <si>
    <t>Tubo HoGo 1/2"</t>
  </si>
  <si>
    <t>Llave de paso 1"</t>
  </si>
  <si>
    <t>Llave de paso 3/4"</t>
  </si>
  <si>
    <t>Llave de paso 1/2"</t>
  </si>
  <si>
    <t>Lave de derrame 1/2"</t>
  </si>
  <si>
    <t>Llave de empotrar de ducha 1/2"</t>
  </si>
  <si>
    <t>Codo de 1"</t>
  </si>
  <si>
    <t>Codo de 3/4"</t>
  </si>
  <si>
    <t>Codo de 1/2"</t>
  </si>
  <si>
    <t>Ducha regader 1/2"</t>
  </si>
  <si>
    <t>Tubo BoVo 4"</t>
  </si>
  <si>
    <t>Tubo PVC 4"</t>
  </si>
  <si>
    <t>Tubo PVC 2"</t>
  </si>
  <si>
    <t>Tanque Asbesto Cemento 500 gls</t>
  </si>
  <si>
    <t>Tablas de madera para encofrados</t>
  </si>
  <si>
    <t>pié taller</t>
  </si>
  <si>
    <t>Madera auxiliar</t>
  </si>
  <si>
    <t>Puntillas 2 1/2" calibre 12</t>
  </si>
  <si>
    <t>Kg</t>
  </si>
  <si>
    <t>Rollo de cerca de alambre galbanizado de 3mm</t>
  </si>
  <si>
    <t>rollo</t>
  </si>
  <si>
    <t>Tornillo de Fijación</t>
  </si>
  <si>
    <t>Reja de Seguridad para Ventana</t>
  </si>
  <si>
    <t>Reja de Seguridad para Puerta</t>
  </si>
  <si>
    <t>Puerta de Aluminio 900x2100mm</t>
  </si>
  <si>
    <t>Puerta de Aluminio 700x2100mm</t>
  </si>
  <si>
    <t>Puerta de Aluminio 600x2100mm</t>
  </si>
  <si>
    <t>Puerta de Madera 900x2100mm</t>
  </si>
  <si>
    <t>Puerta de Madera 700x2100mm</t>
  </si>
  <si>
    <t>Puerta de Madera 600x2100mm</t>
  </si>
  <si>
    <t>Ventana Miami 2100x1200mm</t>
  </si>
  <si>
    <t>Ventana Miami 1400x1200mm</t>
  </si>
  <si>
    <t>Ventana Miami 700x1200mm</t>
  </si>
  <si>
    <t>Ventana Miami 700x600mm</t>
  </si>
  <si>
    <t>TOTAL CUP</t>
  </si>
  <si>
    <t>Largo(h)</t>
  </si>
  <si>
    <t xml:space="preserve">Tejas Galvanizadas </t>
  </si>
  <si>
    <t>Tejas Galvanizadas 3,05m x 0,9m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</si>
</sst>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0.000"/>
    <numFmt numFmtId="165" formatCode="#,###"/>
    <numFmt numFmtId="166" formatCode="0.00;[Red]0.00"/>
    <numFmt numFmtId="167" formatCode="0.0"/>
    <numFmt numFmtId="168" formatCode="0.0000"/>
    <numFmt numFmtId="169" formatCode="[$$-2409]#,##0.00"/>
  </numFmts>
  <fonts count="4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0"/>
      <color rgb="FFC00000"/>
      <name val="Arial"/>
      <family val="2"/>
    </font>
    <font>
      <b/>
      <sz val="10"/>
      <color rgb="FF0070C0"/>
      <name val="Arial"/>
      <family val="2"/>
    </font>
    <font>
      <b/>
      <sz val="10"/>
      <color theme="7" tint="0.59999389629810485"/>
      <name val="Arial"/>
      <family val="2"/>
    </font>
    <font>
      <sz val="10"/>
      <name val="Calibri"/>
      <family val="2"/>
    </font>
    <font>
      <b/>
      <sz val="10"/>
      <name val="Arial"/>
      <family val="2"/>
    </font>
    <font>
      <b/>
      <sz val="14"/>
      <name val="Calibri"/>
      <family val="2"/>
    </font>
    <font>
      <b/>
      <sz val="10"/>
      <name val="Calibri"/>
      <family val="2"/>
    </font>
    <font>
      <b/>
      <i/>
      <sz val="12"/>
      <name val="Arial"/>
      <family val="2"/>
    </font>
    <font>
      <sz val="10"/>
      <color indexed="41"/>
      <name val="Arial"/>
      <family val="2"/>
    </font>
    <font>
      <sz val="10"/>
      <color indexed="4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sz val="14"/>
      <name val="Arial"/>
      <family val="2"/>
    </font>
    <font>
      <sz val="16"/>
      <name val="Arial"/>
      <family val="2"/>
    </font>
    <font>
      <sz val="10"/>
      <color indexed="40"/>
      <name val="Arial"/>
      <family val="2"/>
    </font>
    <font>
      <b/>
      <sz val="12"/>
      <name val="Arial"/>
      <family val="2"/>
    </font>
    <font>
      <b/>
      <sz val="10"/>
      <color indexed="12"/>
      <name val="Arial"/>
      <family val="2"/>
    </font>
    <font>
      <b/>
      <i/>
      <sz val="10"/>
      <name val="Arial"/>
      <family val="2"/>
    </font>
    <font>
      <b/>
      <i/>
      <sz val="14"/>
      <name val="Arial"/>
      <family val="2"/>
    </font>
    <font>
      <b/>
      <sz val="10"/>
      <color indexed="10"/>
      <name val="Arial"/>
      <family val="2"/>
    </font>
    <font>
      <sz val="9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4"/>
      <color indexed="10"/>
      <name val="Arial"/>
      <family val="2"/>
    </font>
    <font>
      <sz val="14"/>
      <color indexed="12"/>
      <name val="Arial"/>
      <family val="2"/>
    </font>
    <font>
      <sz val="12"/>
      <name val="Arial"/>
      <family val="2"/>
    </font>
    <font>
      <b/>
      <sz val="12"/>
      <color indexed="10"/>
      <name val="Arial"/>
      <family val="2"/>
    </font>
    <font>
      <b/>
      <sz val="12"/>
      <color indexed="12"/>
      <name val="Arial"/>
      <family val="2"/>
    </font>
    <font>
      <b/>
      <u/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name val="Arial"/>
      <family val="2"/>
    </font>
    <font>
      <sz val="12"/>
      <color theme="4" tint="-0.249977111117893"/>
      <name val="Arial"/>
      <family val="2"/>
    </font>
    <font>
      <sz val="11"/>
      <color theme="1"/>
      <name val="Calibri"/>
      <family val="2"/>
      <charset val="204"/>
      <scheme val="minor"/>
    </font>
    <font>
      <b/>
      <i/>
      <u/>
      <sz val="12"/>
      <name val="Arial"/>
      <family val="2"/>
    </font>
    <font>
      <sz val="11"/>
      <color theme="1"/>
      <name val="Arial"/>
      <family val="2"/>
    </font>
    <font>
      <sz val="10"/>
      <name val="Arial"/>
    </font>
    <font>
      <sz val="10"/>
      <color rgb="FF0070C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rgb="FFC00000"/>
      </left>
      <right style="thin">
        <color rgb="FFC00000"/>
      </right>
      <top style="medium">
        <color rgb="FFC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medium">
        <color rgb="FFC00000"/>
      </top>
      <bottom style="thin">
        <color rgb="FFC00000"/>
      </bottom>
      <diagonal/>
    </border>
    <border>
      <left style="thin">
        <color rgb="FFC00000"/>
      </left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 style="medium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medium">
        <color rgb="FFC00000"/>
      </right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rgb="FFC00000"/>
      </left>
      <right style="thin">
        <color rgb="FFC00000"/>
      </right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medium">
        <color rgb="FFC00000"/>
      </right>
      <top style="thin">
        <color rgb="FFC00000"/>
      </top>
      <bottom/>
      <diagonal/>
    </border>
    <border>
      <left style="medium">
        <color rgb="FFC00000"/>
      </left>
      <right style="thin">
        <color rgb="FFC00000"/>
      </right>
      <top style="thin">
        <color rgb="FFC00000"/>
      </top>
      <bottom style="medium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medium">
        <color rgb="FFC00000"/>
      </bottom>
      <diagonal/>
    </border>
    <border>
      <left style="thin">
        <color rgb="FFC00000"/>
      </left>
      <right style="medium">
        <color rgb="FFC00000"/>
      </right>
      <top style="thin">
        <color rgb="FFC00000"/>
      </top>
      <bottom style="medium">
        <color rgb="FFC00000"/>
      </bottom>
      <diagonal/>
    </border>
    <border>
      <left/>
      <right style="thin">
        <color rgb="FFC00000"/>
      </right>
      <top style="thin">
        <color rgb="FFC00000"/>
      </top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33" fillId="0" borderId="0"/>
    <xf numFmtId="44" fontId="33" fillId="0" borderId="0" applyFont="0" applyFill="0" applyBorder="0" applyAlignment="0" applyProtection="0"/>
    <xf numFmtId="0" fontId="40" fillId="0" borderId="0"/>
    <xf numFmtId="0" fontId="43" fillId="0" borderId="0"/>
  </cellStyleXfs>
  <cellXfs count="459">
    <xf numFmtId="0" fontId="0" fillId="0" borderId="0" xfId="0"/>
    <xf numFmtId="0" fontId="1" fillId="0" borderId="0" xfId="1"/>
    <xf numFmtId="0" fontId="2" fillId="0" borderId="0" xfId="1" applyFont="1" applyAlignment="1">
      <alignment wrapText="1"/>
    </xf>
    <xf numFmtId="0" fontId="3" fillId="0" borderId="0" xfId="1" applyFont="1"/>
    <xf numFmtId="0" fontId="2" fillId="0" borderId="0" xfId="1" applyFont="1"/>
    <xf numFmtId="0" fontId="1" fillId="0" borderId="0" xfId="1" applyBorder="1"/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1" fillId="2" borderId="3" xfId="1" applyFill="1" applyBorder="1"/>
    <xf numFmtId="0" fontId="1" fillId="2" borderId="4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center" vertical="center"/>
    </xf>
    <xf numFmtId="0" fontId="1" fillId="2" borderId="4" xfId="1" applyFill="1" applyBorder="1" applyAlignment="1">
      <alignment horizontal="left" vertical="center"/>
    </xf>
    <xf numFmtId="0" fontId="4" fillId="2" borderId="5" xfId="1" applyFont="1" applyFill="1" applyBorder="1" applyAlignment="1">
      <alignment horizontal="center" vertical="center" wrapText="1"/>
    </xf>
    <xf numFmtId="0" fontId="1" fillId="2" borderId="6" xfId="1" applyFill="1" applyBorder="1"/>
    <xf numFmtId="0" fontId="1" fillId="2" borderId="7" xfId="1" applyFill="1" applyBorder="1" applyAlignment="1">
      <alignment horizontal="left" vertical="center"/>
    </xf>
    <xf numFmtId="0" fontId="4" fillId="2" borderId="5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2" fontId="1" fillId="3" borderId="6" xfId="1" applyNumberFormat="1" applyFill="1" applyBorder="1"/>
    <xf numFmtId="0" fontId="1" fillId="3" borderId="7" xfId="1" applyFill="1" applyBorder="1" applyAlignment="1">
      <alignment horizontal="left" vertical="center"/>
    </xf>
    <xf numFmtId="0" fontId="5" fillId="3" borderId="5" xfId="1" applyFont="1" applyFill="1" applyBorder="1" applyAlignment="1">
      <alignment horizontal="center" vertical="center" wrapText="1"/>
    </xf>
    <xf numFmtId="2" fontId="1" fillId="3" borderId="6" xfId="1" applyNumberFormat="1" applyFill="1" applyBorder="1" applyProtection="1"/>
    <xf numFmtId="2" fontId="1" fillId="3" borderId="6" xfId="1" applyNumberFormat="1" applyFill="1" applyBorder="1" applyAlignment="1">
      <alignment vertical="center"/>
    </xf>
    <xf numFmtId="0" fontId="5" fillId="3" borderId="8" xfId="1" applyFont="1" applyFill="1" applyBorder="1" applyAlignment="1">
      <alignment horizontal="center" vertical="center" wrapText="1"/>
    </xf>
    <xf numFmtId="2" fontId="1" fillId="3" borderId="6" xfId="1" applyNumberFormat="1" applyFill="1" applyBorder="1" applyAlignment="1" applyProtection="1">
      <alignment vertical="center"/>
    </xf>
    <xf numFmtId="2" fontId="1" fillId="3" borderId="6" xfId="1" applyNumberFormat="1" applyFill="1" applyBorder="1" applyAlignment="1">
      <alignment horizontal="right" vertical="center"/>
    </xf>
    <xf numFmtId="0" fontId="1" fillId="3" borderId="7" xfId="1" applyFont="1" applyFill="1" applyBorder="1" applyAlignment="1">
      <alignment horizontal="left" vertical="center"/>
    </xf>
    <xf numFmtId="2" fontId="1" fillId="2" borderId="6" xfId="1" applyNumberFormat="1" applyFill="1" applyBorder="1"/>
    <xf numFmtId="2" fontId="1" fillId="2" borderId="6" xfId="1" applyNumberFormat="1" applyFill="1" applyBorder="1" applyAlignment="1">
      <alignment vertical="center"/>
    </xf>
    <xf numFmtId="0" fontId="1" fillId="2" borderId="7" xfId="1" applyFont="1" applyFill="1" applyBorder="1" applyAlignment="1">
      <alignment horizontal="left" vertical="center"/>
    </xf>
    <xf numFmtId="0" fontId="4" fillId="2" borderId="8" xfId="1" applyFont="1" applyFill="1" applyBorder="1" applyAlignment="1">
      <alignment horizontal="center" vertical="center" wrapText="1"/>
    </xf>
    <xf numFmtId="2" fontId="1" fillId="2" borderId="6" xfId="1" applyNumberFormat="1" applyFill="1" applyBorder="1" applyAlignment="1">
      <alignment horizontal="right" vertical="center"/>
    </xf>
    <xf numFmtId="0" fontId="5" fillId="3" borderId="9" xfId="1" applyFont="1" applyFill="1" applyBorder="1" applyAlignment="1">
      <alignment horizontal="center" vertical="center" wrapText="1"/>
    </xf>
    <xf numFmtId="0" fontId="5" fillId="3" borderId="10" xfId="1" applyFont="1" applyFill="1" applyBorder="1" applyAlignment="1">
      <alignment horizontal="center" vertical="center" wrapText="1"/>
    </xf>
    <xf numFmtId="2" fontId="1" fillId="3" borderId="11" xfId="1" applyNumberFormat="1" applyFill="1" applyBorder="1" applyAlignment="1" applyProtection="1">
      <alignment vertical="center"/>
    </xf>
    <xf numFmtId="0" fontId="1" fillId="3" borderId="12" xfId="1" applyFont="1" applyFill="1" applyBorder="1" applyAlignment="1">
      <alignment horizontal="left" vertical="center"/>
    </xf>
    <xf numFmtId="0" fontId="5" fillId="3" borderId="13" xfId="1" applyFont="1" applyFill="1" applyBorder="1" applyAlignment="1">
      <alignment horizontal="center" vertical="center" wrapText="1"/>
    </xf>
    <xf numFmtId="2" fontId="1" fillId="3" borderId="14" xfId="1" applyNumberFormat="1" applyFill="1" applyBorder="1" applyAlignment="1" applyProtection="1">
      <alignment vertical="center"/>
    </xf>
    <xf numFmtId="0" fontId="1" fillId="3" borderId="15" xfId="1" applyFill="1" applyBorder="1" applyAlignment="1">
      <alignment horizontal="left" vertical="center"/>
    </xf>
    <xf numFmtId="2" fontId="1" fillId="3" borderId="14" xfId="1" applyNumberFormat="1" applyFill="1" applyBorder="1"/>
    <xf numFmtId="0" fontId="1" fillId="0" borderId="0" xfId="1" applyAlignment="1">
      <alignment wrapText="1"/>
    </xf>
    <xf numFmtId="0" fontId="5" fillId="3" borderId="16" xfId="1" applyFont="1" applyFill="1" applyBorder="1" applyAlignment="1">
      <alignment horizontal="center" vertical="center" wrapText="1"/>
    </xf>
    <xf numFmtId="0" fontId="1" fillId="0" borderId="0" xfId="1" applyAlignment="1" applyProtection="1">
      <alignment wrapText="1"/>
      <protection locked="0"/>
    </xf>
    <xf numFmtId="0" fontId="1" fillId="2" borderId="3" xfId="1" applyFill="1" applyBorder="1" applyAlignment="1">
      <alignment vertical="center"/>
    </xf>
    <xf numFmtId="0" fontId="7" fillId="4" borderId="17" xfId="1" applyFont="1" applyFill="1" applyBorder="1" applyAlignment="1">
      <alignment horizontal="right" vertical="center"/>
    </xf>
    <xf numFmtId="2" fontId="7" fillId="4" borderId="18" xfId="1" applyNumberFormat="1" applyFont="1" applyFill="1" applyBorder="1" applyAlignment="1">
      <alignment vertical="center"/>
    </xf>
    <xf numFmtId="0" fontId="7" fillId="4" borderId="18" xfId="1" applyFont="1" applyFill="1" applyBorder="1" applyAlignment="1">
      <alignment vertical="center"/>
    </xf>
    <xf numFmtId="0" fontId="7" fillId="4" borderId="18" xfId="1" applyFont="1" applyFill="1" applyBorder="1" applyAlignment="1">
      <alignment horizontal="center" vertical="center"/>
    </xf>
    <xf numFmtId="164" fontId="7" fillId="4" borderId="18" xfId="1" applyNumberFormat="1" applyFont="1" applyFill="1" applyBorder="1" applyAlignment="1">
      <alignment horizontal="center" vertical="center"/>
    </xf>
    <xf numFmtId="1" fontId="7" fillId="4" borderId="18" xfId="1" applyNumberFormat="1" applyFont="1" applyFill="1" applyBorder="1" applyAlignment="1">
      <alignment horizontal="center" vertical="center"/>
    </xf>
    <xf numFmtId="0" fontId="7" fillId="4" borderId="19" xfId="1" applyFont="1" applyFill="1" applyBorder="1" applyAlignment="1">
      <alignment vertical="center" wrapText="1"/>
    </xf>
    <xf numFmtId="0" fontId="1" fillId="2" borderId="6" xfId="1" applyFill="1" applyBorder="1" applyAlignment="1">
      <alignment vertical="center"/>
    </xf>
    <xf numFmtId="0" fontId="7" fillId="4" borderId="20" xfId="1" applyFont="1" applyFill="1" applyBorder="1" applyAlignment="1">
      <alignment horizontal="right" vertical="center"/>
    </xf>
    <xf numFmtId="2" fontId="7" fillId="4" borderId="0" xfId="1" applyNumberFormat="1" applyFont="1" applyFill="1" applyBorder="1" applyAlignment="1">
      <alignment vertical="center"/>
    </xf>
    <xf numFmtId="0" fontId="7" fillId="4" borderId="0" xfId="1" applyFont="1" applyFill="1" applyBorder="1" applyAlignment="1">
      <alignment vertical="center"/>
    </xf>
    <xf numFmtId="0" fontId="7" fillId="4" borderId="0" xfId="1" applyFont="1" applyFill="1" applyBorder="1" applyAlignment="1">
      <alignment horizontal="center" vertical="center"/>
    </xf>
    <xf numFmtId="164" fontId="7" fillId="4" borderId="0" xfId="1" applyNumberFormat="1" applyFont="1" applyFill="1" applyBorder="1" applyAlignment="1">
      <alignment horizontal="center" vertical="center"/>
    </xf>
    <xf numFmtId="1" fontId="7" fillId="4" borderId="0" xfId="1" applyNumberFormat="1" applyFont="1" applyFill="1" applyBorder="1" applyAlignment="1">
      <alignment horizontal="center" vertical="center"/>
    </xf>
    <xf numFmtId="0" fontId="7" fillId="4" borderId="21" xfId="1" applyFont="1" applyFill="1" applyBorder="1" applyAlignment="1">
      <alignment vertical="center" wrapText="1"/>
    </xf>
    <xf numFmtId="0" fontId="7" fillId="4" borderId="22" xfId="1" applyFont="1" applyFill="1" applyBorder="1" applyAlignment="1">
      <alignment horizontal="right" vertical="center"/>
    </xf>
    <xf numFmtId="2" fontId="7" fillId="4" borderId="23" xfId="1" applyNumberFormat="1" applyFont="1" applyFill="1" applyBorder="1" applyAlignment="1">
      <alignment vertical="center"/>
    </xf>
    <xf numFmtId="0" fontId="7" fillId="4" borderId="23" xfId="1" applyFont="1" applyFill="1" applyBorder="1" applyAlignment="1">
      <alignment vertical="center"/>
    </xf>
    <xf numFmtId="0" fontId="7" fillId="4" borderId="23" xfId="1" applyFont="1" applyFill="1" applyBorder="1" applyAlignment="1">
      <alignment horizontal="center" vertical="center"/>
    </xf>
    <xf numFmtId="164" fontId="7" fillId="4" borderId="23" xfId="1" applyNumberFormat="1" applyFont="1" applyFill="1" applyBorder="1" applyAlignment="1">
      <alignment horizontal="center" vertical="center"/>
    </xf>
    <xf numFmtId="1" fontId="7" fillId="4" borderId="23" xfId="1" applyNumberFormat="1" applyFont="1" applyFill="1" applyBorder="1" applyAlignment="1">
      <alignment horizontal="center" vertical="center"/>
    </xf>
    <xf numFmtId="0" fontId="7" fillId="4" borderId="24" xfId="1" applyFont="1" applyFill="1" applyBorder="1" applyAlignment="1">
      <alignment vertical="center" wrapText="1"/>
    </xf>
    <xf numFmtId="2" fontId="7" fillId="4" borderId="18" xfId="1" applyNumberFormat="1" applyFont="1" applyFill="1" applyBorder="1"/>
    <xf numFmtId="0" fontId="7" fillId="4" borderId="18" xfId="1" applyFont="1" applyFill="1" applyBorder="1"/>
    <xf numFmtId="0" fontId="1" fillId="4" borderId="18" xfId="1" applyFill="1" applyBorder="1"/>
    <xf numFmtId="0" fontId="1" fillId="4" borderId="19" xfId="1" applyFill="1" applyBorder="1" applyAlignment="1">
      <alignment wrapText="1"/>
    </xf>
    <xf numFmtId="2" fontId="7" fillId="4" borderId="0" xfId="1" applyNumberFormat="1" applyFont="1" applyFill="1" applyBorder="1"/>
    <xf numFmtId="0" fontId="7" fillId="4" borderId="0" xfId="1" applyFont="1" applyFill="1" applyBorder="1"/>
    <xf numFmtId="0" fontId="1" fillId="4" borderId="0" xfId="1" applyFill="1" applyBorder="1"/>
    <xf numFmtId="0" fontId="1" fillId="4" borderId="21" xfId="1" applyFill="1" applyBorder="1" applyAlignment="1">
      <alignment wrapText="1"/>
    </xf>
    <xf numFmtId="0" fontId="7" fillId="4" borderId="20" xfId="1" applyFont="1" applyFill="1" applyBorder="1" applyAlignment="1">
      <alignment horizontal="right" vertical="center" wrapText="1"/>
    </xf>
    <xf numFmtId="0" fontId="7" fillId="4" borderId="0" xfId="1" applyFont="1" applyFill="1" applyBorder="1" applyAlignment="1">
      <alignment horizontal="left" vertical="center"/>
    </xf>
    <xf numFmtId="2" fontId="1" fillId="4" borderId="0" xfId="1" applyNumberFormat="1" applyFill="1" applyBorder="1"/>
    <xf numFmtId="2" fontId="1" fillId="3" borderId="6" xfId="1" applyNumberFormat="1" applyFont="1" applyFill="1" applyBorder="1"/>
    <xf numFmtId="0" fontId="7" fillId="4" borderId="22" xfId="1" applyFont="1" applyFill="1" applyBorder="1" applyAlignment="1">
      <alignment horizontal="right" vertical="center" wrapText="1"/>
    </xf>
    <xf numFmtId="2" fontId="7" fillId="4" borderId="23" xfId="1" applyNumberFormat="1" applyFont="1" applyFill="1" applyBorder="1"/>
    <xf numFmtId="0" fontId="7" fillId="4" borderId="23" xfId="1" applyFont="1" applyFill="1" applyBorder="1" applyAlignment="1">
      <alignment horizontal="left" vertical="center"/>
    </xf>
    <xf numFmtId="0" fontId="1" fillId="4" borderId="23" xfId="1" applyFill="1" applyBorder="1"/>
    <xf numFmtId="2" fontId="1" fillId="4" borderId="23" xfId="1" applyNumberFormat="1" applyFill="1" applyBorder="1"/>
    <xf numFmtId="0" fontId="1" fillId="4" borderId="24" xfId="1" applyFill="1" applyBorder="1" applyAlignment="1">
      <alignment wrapText="1"/>
    </xf>
    <xf numFmtId="0" fontId="5" fillId="3" borderId="6" xfId="1" applyFont="1" applyFill="1" applyBorder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0" fontId="1" fillId="0" borderId="25" xfId="1" applyBorder="1"/>
    <xf numFmtId="0" fontId="10" fillId="0" borderId="26" xfId="1" applyFont="1" applyBorder="1"/>
    <xf numFmtId="0" fontId="1" fillId="0" borderId="26" xfId="1" applyBorder="1"/>
    <xf numFmtId="0" fontId="7" fillId="0" borderId="0" xfId="1" applyFont="1" applyAlignment="1">
      <alignment horizontal="center"/>
    </xf>
    <xf numFmtId="0" fontId="7" fillId="0" borderId="27" xfId="1" applyFont="1" applyBorder="1" applyAlignment="1">
      <alignment horizontal="center"/>
    </xf>
    <xf numFmtId="0" fontId="7" fillId="0" borderId="28" xfId="1" applyFont="1" applyBorder="1" applyAlignment="1">
      <alignment horizontal="center"/>
    </xf>
    <xf numFmtId="0" fontId="7" fillId="0" borderId="29" xfId="1" applyFont="1" applyBorder="1"/>
    <xf numFmtId="0" fontId="7" fillId="0" borderId="30" xfId="1" applyFont="1" applyBorder="1"/>
    <xf numFmtId="0" fontId="7" fillId="0" borderId="31" xfId="1" applyFont="1" applyBorder="1"/>
    <xf numFmtId="0" fontId="7" fillId="0" borderId="32" xfId="1" applyFont="1" applyBorder="1"/>
    <xf numFmtId="0" fontId="1" fillId="0" borderId="28" xfId="1" applyBorder="1"/>
    <xf numFmtId="0" fontId="7" fillId="0" borderId="33" xfId="1" applyFont="1" applyBorder="1" applyAlignment="1">
      <alignment horizontal="center"/>
    </xf>
    <xf numFmtId="0" fontId="7" fillId="0" borderId="32" xfId="1" applyFont="1" applyBorder="1" applyAlignment="1">
      <alignment horizontal="center"/>
    </xf>
    <xf numFmtId="0" fontId="7" fillId="0" borderId="26" xfId="1" applyFont="1" applyBorder="1" applyAlignment="1">
      <alignment horizontal="center"/>
    </xf>
    <xf numFmtId="0" fontId="7" fillId="0" borderId="34" xfId="1" applyFont="1" applyBorder="1" applyAlignment="1">
      <alignment horizontal="center"/>
    </xf>
    <xf numFmtId="0" fontId="7" fillId="0" borderId="35" xfId="1" applyFont="1" applyBorder="1" applyAlignment="1">
      <alignment horizontal="center"/>
    </xf>
    <xf numFmtId="0" fontId="7" fillId="0" borderId="35" xfId="1" applyFont="1" applyBorder="1"/>
    <xf numFmtId="0" fontId="7" fillId="5" borderId="0" xfId="1" applyFont="1" applyFill="1"/>
    <xf numFmtId="0" fontId="11" fillId="5" borderId="28" xfId="1" applyFont="1" applyFill="1" applyBorder="1"/>
    <xf numFmtId="0" fontId="11" fillId="5" borderId="28" xfId="1" applyFont="1" applyFill="1" applyBorder="1" applyAlignment="1">
      <alignment horizontal="center"/>
    </xf>
    <xf numFmtId="0" fontId="11" fillId="5" borderId="32" xfId="1" applyFont="1" applyFill="1" applyBorder="1"/>
    <xf numFmtId="0" fontId="7" fillId="5" borderId="26" xfId="1" applyFont="1" applyFill="1" applyBorder="1"/>
    <xf numFmtId="0" fontId="11" fillId="5" borderId="34" xfId="1" applyFont="1" applyFill="1" applyBorder="1"/>
    <xf numFmtId="0" fontId="11" fillId="5" borderId="34" xfId="1" applyFont="1" applyFill="1" applyBorder="1" applyAlignment="1">
      <alignment horizontal="center"/>
    </xf>
    <xf numFmtId="0" fontId="11" fillId="5" borderId="35" xfId="1" applyFont="1" applyFill="1" applyBorder="1"/>
    <xf numFmtId="0" fontId="1" fillId="0" borderId="31" xfId="1" applyBorder="1"/>
    <xf numFmtId="0" fontId="1" fillId="0" borderId="36" xfId="1" applyBorder="1" applyAlignment="1">
      <alignment horizontal="center"/>
    </xf>
    <xf numFmtId="0" fontId="12" fillId="0" borderId="36" xfId="1" applyFont="1" applyBorder="1" applyAlignment="1">
      <alignment horizontal="center"/>
    </xf>
    <xf numFmtId="0" fontId="13" fillId="0" borderId="36" xfId="1" applyFont="1" applyBorder="1" applyAlignment="1">
      <alignment horizontal="center"/>
    </xf>
    <xf numFmtId="0" fontId="14" fillId="0" borderId="36" xfId="1" applyFont="1" applyBorder="1" applyAlignment="1">
      <alignment horizontal="center"/>
    </xf>
    <xf numFmtId="165" fontId="12" fillId="0" borderId="36" xfId="1" applyNumberFormat="1" applyFont="1" applyBorder="1" applyAlignment="1">
      <alignment horizontal="center"/>
    </xf>
    <xf numFmtId="0" fontId="12" fillId="0" borderId="36" xfId="1" applyNumberFormat="1" applyFont="1" applyBorder="1" applyAlignment="1">
      <alignment horizontal="center"/>
    </xf>
    <xf numFmtId="0" fontId="7" fillId="5" borderId="0" xfId="1" applyFont="1" applyFill="1" applyBorder="1"/>
    <xf numFmtId="0" fontId="1" fillId="5" borderId="28" xfId="1" applyFill="1" applyBorder="1" applyAlignment="1">
      <alignment horizontal="center"/>
    </xf>
    <xf numFmtId="0" fontId="1" fillId="5" borderId="28" xfId="1" applyFill="1" applyBorder="1"/>
    <xf numFmtId="0" fontId="13" fillId="5" borderId="28" xfId="1" applyFont="1" applyFill="1" applyBorder="1" applyAlignment="1">
      <alignment horizontal="center"/>
    </xf>
    <xf numFmtId="0" fontId="14" fillId="5" borderId="28" xfId="1" applyFont="1" applyFill="1" applyBorder="1"/>
    <xf numFmtId="0" fontId="1" fillId="5" borderId="33" xfId="1" applyFill="1" applyBorder="1"/>
    <xf numFmtId="0" fontId="1" fillId="5" borderId="34" xfId="1" applyFill="1" applyBorder="1" applyAlignment="1">
      <alignment horizontal="center"/>
    </xf>
    <xf numFmtId="0" fontId="1" fillId="5" borderId="34" xfId="1" applyFill="1" applyBorder="1"/>
    <xf numFmtId="0" fontId="13" fillId="5" borderId="34" xfId="1" applyFont="1" applyFill="1" applyBorder="1" applyAlignment="1">
      <alignment horizontal="center"/>
    </xf>
    <xf numFmtId="0" fontId="14" fillId="5" borderId="34" xfId="1" applyFont="1" applyFill="1" applyBorder="1"/>
    <xf numFmtId="0" fontId="1" fillId="5" borderId="35" xfId="1" applyFill="1" applyBorder="1"/>
    <xf numFmtId="0" fontId="1" fillId="0" borderId="31" xfId="1" applyFill="1" applyBorder="1"/>
    <xf numFmtId="0" fontId="7" fillId="5" borderId="36" xfId="1" applyFont="1" applyFill="1" applyBorder="1"/>
    <xf numFmtId="0" fontId="1" fillId="5" borderId="29" xfId="1" applyFill="1" applyBorder="1" applyAlignment="1">
      <alignment horizontal="center"/>
    </xf>
    <xf numFmtId="0" fontId="12" fillId="5" borderId="29" xfId="1" applyFont="1" applyFill="1" applyBorder="1" applyAlignment="1">
      <alignment horizontal="center"/>
    </xf>
    <xf numFmtId="0" fontId="13" fillId="0" borderId="29" xfId="1" applyFont="1" applyBorder="1" applyAlignment="1">
      <alignment horizontal="center"/>
    </xf>
    <xf numFmtId="0" fontId="13" fillId="5" borderId="29" xfId="1" applyFont="1" applyFill="1" applyBorder="1" applyAlignment="1">
      <alignment horizontal="center"/>
    </xf>
    <xf numFmtId="0" fontId="14" fillId="5" borderId="29" xfId="1" applyFont="1" applyFill="1" applyBorder="1" applyAlignment="1">
      <alignment horizontal="center"/>
    </xf>
    <xf numFmtId="0" fontId="12" fillId="5" borderId="36" xfId="1" applyFont="1" applyFill="1" applyBorder="1" applyAlignment="1">
      <alignment horizontal="center"/>
    </xf>
    <xf numFmtId="0" fontId="7" fillId="5" borderId="34" xfId="1" applyFont="1" applyFill="1" applyBorder="1" applyAlignment="1">
      <alignment horizontal="center"/>
    </xf>
    <xf numFmtId="0" fontId="14" fillId="5" borderId="34" xfId="1" applyFont="1" applyFill="1" applyBorder="1" applyAlignment="1">
      <alignment horizontal="center"/>
    </xf>
    <xf numFmtId="0" fontId="1" fillId="0" borderId="0" xfId="1" applyFill="1" applyBorder="1"/>
    <xf numFmtId="0" fontId="1" fillId="0" borderId="28" xfId="1" applyBorder="1" applyAlignment="1">
      <alignment horizontal="center"/>
    </xf>
    <xf numFmtId="0" fontId="12" fillId="0" borderId="28" xfId="1" applyFont="1" applyBorder="1" applyAlignment="1">
      <alignment horizontal="center"/>
    </xf>
    <xf numFmtId="0" fontId="13" fillId="0" borderId="28" xfId="1" applyFont="1" applyBorder="1" applyAlignment="1">
      <alignment horizontal="center"/>
    </xf>
    <xf numFmtId="0" fontId="14" fillId="5" borderId="28" xfId="1" applyFont="1" applyFill="1" applyBorder="1" applyAlignment="1">
      <alignment horizontal="center"/>
    </xf>
    <xf numFmtId="0" fontId="12" fillId="0" borderId="33" xfId="1" applyNumberFormat="1" applyFont="1" applyBorder="1" applyAlignment="1">
      <alignment horizontal="center"/>
    </xf>
    <xf numFmtId="0" fontId="1" fillId="0" borderId="26" xfId="1" applyFill="1" applyBorder="1"/>
    <xf numFmtId="0" fontId="1" fillId="0" borderId="34" xfId="1" applyBorder="1" applyAlignment="1">
      <alignment horizontal="center"/>
    </xf>
    <xf numFmtId="0" fontId="12" fillId="0" borderId="34" xfId="1" applyFont="1" applyBorder="1" applyAlignment="1">
      <alignment horizontal="center"/>
    </xf>
    <xf numFmtId="0" fontId="13" fillId="0" borderId="34" xfId="1" applyFont="1" applyBorder="1" applyAlignment="1">
      <alignment horizontal="center"/>
    </xf>
    <xf numFmtId="0" fontId="12" fillId="0" borderId="35" xfId="1" applyFont="1" applyBorder="1" applyAlignment="1">
      <alignment horizontal="center"/>
    </xf>
    <xf numFmtId="0" fontId="7" fillId="5" borderId="29" xfId="1" applyFont="1" applyFill="1" applyBorder="1"/>
    <xf numFmtId="0" fontId="14" fillId="5" borderId="29" xfId="1" applyFont="1" applyFill="1" applyBorder="1"/>
    <xf numFmtId="0" fontId="14" fillId="5" borderId="36" xfId="1" applyFont="1" applyFill="1" applyBorder="1" applyAlignment="1">
      <alignment horizontal="center"/>
    </xf>
    <xf numFmtId="0" fontId="1" fillId="5" borderId="32" xfId="1" applyFill="1" applyBorder="1" applyAlignment="1">
      <alignment horizontal="center"/>
    </xf>
    <xf numFmtId="0" fontId="12" fillId="5" borderId="28" xfId="1" applyFont="1" applyFill="1" applyBorder="1" applyAlignment="1">
      <alignment horizontal="center"/>
    </xf>
    <xf numFmtId="0" fontId="12" fillId="5" borderId="33" xfId="1" applyFont="1" applyFill="1" applyBorder="1" applyAlignment="1">
      <alignment horizontal="center"/>
    </xf>
    <xf numFmtId="0" fontId="7" fillId="5" borderId="37" xfId="1" applyFont="1" applyFill="1" applyBorder="1"/>
    <xf numFmtId="0" fontId="1" fillId="5" borderId="35" xfId="1" applyFill="1" applyBorder="1" applyAlignment="1">
      <alignment horizontal="center"/>
    </xf>
    <xf numFmtId="0" fontId="12" fillId="5" borderId="34" xfId="1" applyFont="1" applyFill="1" applyBorder="1" applyAlignment="1">
      <alignment horizontal="center"/>
    </xf>
    <xf numFmtId="0" fontId="12" fillId="5" borderId="35" xfId="1" applyFont="1" applyFill="1" applyBorder="1" applyAlignment="1">
      <alignment horizontal="center"/>
    </xf>
    <xf numFmtId="0" fontId="1" fillId="0" borderId="26" xfId="1" applyFont="1" applyFill="1" applyBorder="1"/>
    <xf numFmtId="0" fontId="14" fillId="0" borderId="34" xfId="1" applyFont="1" applyBorder="1" applyAlignment="1">
      <alignment horizontal="center"/>
    </xf>
    <xf numFmtId="0" fontId="15" fillId="5" borderId="30" xfId="1" applyFont="1" applyFill="1" applyBorder="1"/>
    <xf numFmtId="0" fontId="1" fillId="5" borderId="30" xfId="1" applyFill="1" applyBorder="1"/>
    <xf numFmtId="0" fontId="16" fillId="5" borderId="36" xfId="1" applyFont="1" applyFill="1" applyBorder="1"/>
    <xf numFmtId="2" fontId="13" fillId="0" borderId="36" xfId="1" applyNumberFormat="1" applyFont="1" applyBorder="1" applyAlignment="1">
      <alignment horizontal="center"/>
    </xf>
    <xf numFmtId="2" fontId="1" fillId="5" borderId="36" xfId="1" applyNumberFormat="1" applyFill="1" applyBorder="1"/>
    <xf numFmtId="2" fontId="14" fillId="5" borderId="36" xfId="1" applyNumberFormat="1" applyFont="1" applyFill="1" applyBorder="1"/>
    <xf numFmtId="2" fontId="1" fillId="0" borderId="36" xfId="1" applyNumberFormat="1" applyBorder="1"/>
    <xf numFmtId="0" fontId="7" fillId="0" borderId="27" xfId="1" applyFont="1" applyBorder="1"/>
    <xf numFmtId="0" fontId="7" fillId="0" borderId="34" xfId="1" applyFont="1" applyBorder="1"/>
    <xf numFmtId="0" fontId="7" fillId="5" borderId="0" xfId="1" applyFont="1" applyFill="1" applyAlignment="1">
      <alignment horizontal="center"/>
    </xf>
    <xf numFmtId="0" fontId="1" fillId="5" borderId="0" xfId="1" applyFill="1" applyAlignment="1">
      <alignment horizontal="center"/>
    </xf>
    <xf numFmtId="0" fontId="17" fillId="5" borderId="0" xfId="1" applyFont="1" applyFill="1" applyAlignment="1">
      <alignment horizontal="center"/>
    </xf>
    <xf numFmtId="0" fontId="1" fillId="0" borderId="36" xfId="1" applyBorder="1"/>
    <xf numFmtId="0" fontId="1" fillId="5" borderId="36" xfId="1" applyFill="1" applyBorder="1" applyAlignment="1">
      <alignment horizontal="center"/>
    </xf>
    <xf numFmtId="0" fontId="14" fillId="0" borderId="29" xfId="1" applyNumberFormat="1" applyFont="1" applyBorder="1" applyAlignment="1">
      <alignment horizontal="center"/>
    </xf>
    <xf numFmtId="0" fontId="7" fillId="5" borderId="0" xfId="1" applyFont="1" applyFill="1" applyBorder="1" applyAlignment="1">
      <alignment horizontal="center"/>
    </xf>
    <xf numFmtId="0" fontId="14" fillId="5" borderId="0" xfId="1" applyFont="1" applyFill="1" applyAlignment="1">
      <alignment horizontal="center"/>
    </xf>
    <xf numFmtId="0" fontId="13" fillId="5" borderId="0" xfId="1" applyFont="1" applyFill="1" applyAlignment="1">
      <alignment horizontal="center"/>
    </xf>
    <xf numFmtId="0" fontId="1" fillId="0" borderId="36" xfId="1" applyFont="1" applyFill="1" applyBorder="1" applyAlignment="1">
      <alignment horizontal="left"/>
    </xf>
    <xf numFmtId="0" fontId="14" fillId="0" borderId="29" xfId="1" applyFont="1" applyBorder="1" applyAlignment="1">
      <alignment horizontal="center"/>
    </xf>
    <xf numFmtId="0" fontId="7" fillId="5" borderId="36" xfId="1" applyFont="1" applyFill="1" applyBorder="1" applyAlignment="1">
      <alignment horizontal="center"/>
    </xf>
    <xf numFmtId="0" fontId="1" fillId="5" borderId="29" xfId="1" applyFill="1" applyBorder="1"/>
    <xf numFmtId="0" fontId="1" fillId="5" borderId="0" xfId="1" applyFill="1"/>
    <xf numFmtId="0" fontId="13" fillId="5" borderId="0" xfId="1" applyFont="1" applyFill="1"/>
    <xf numFmtId="0" fontId="14" fillId="5" borderId="0" xfId="1" applyFont="1" applyFill="1"/>
    <xf numFmtId="0" fontId="1" fillId="0" borderId="0" xfId="1" applyFont="1" applyFill="1" applyBorder="1" applyAlignment="1">
      <alignment horizontal="left"/>
    </xf>
    <xf numFmtId="0" fontId="14" fillId="0" borderId="36" xfId="1" applyFont="1" applyBorder="1"/>
    <xf numFmtId="0" fontId="14" fillId="5" borderId="36" xfId="1" applyFont="1" applyFill="1" applyBorder="1"/>
    <xf numFmtId="0" fontId="1" fillId="5" borderId="36" xfId="1" applyFill="1" applyBorder="1"/>
    <xf numFmtId="0" fontId="1" fillId="0" borderId="37" xfId="1" applyFont="1" applyFill="1" applyBorder="1" applyAlignment="1">
      <alignment horizontal="left"/>
    </xf>
    <xf numFmtId="0" fontId="13" fillId="5" borderId="36" xfId="1" applyFont="1" applyFill="1" applyBorder="1" applyAlignment="1">
      <alignment horizontal="center"/>
    </xf>
    <xf numFmtId="0" fontId="13" fillId="5" borderId="36" xfId="1" applyFont="1" applyFill="1" applyBorder="1"/>
    <xf numFmtId="0" fontId="14" fillId="0" borderId="29" xfId="1" applyFont="1" applyBorder="1"/>
    <xf numFmtId="0" fontId="16" fillId="5" borderId="30" xfId="1" applyFont="1" applyFill="1" applyBorder="1"/>
    <xf numFmtId="0" fontId="16" fillId="5" borderId="31" xfId="1" applyFont="1" applyFill="1" applyBorder="1"/>
    <xf numFmtId="2" fontId="13" fillId="0" borderId="35" xfId="1" applyNumberFormat="1" applyFont="1" applyBorder="1" applyAlignment="1">
      <alignment horizontal="center"/>
    </xf>
    <xf numFmtId="0" fontId="16" fillId="5" borderId="35" xfId="1" applyFont="1" applyFill="1" applyBorder="1" applyAlignment="1">
      <alignment horizontal="center"/>
    </xf>
    <xf numFmtId="2" fontId="16" fillId="5" borderId="35" xfId="1" applyNumberFormat="1" applyFont="1" applyFill="1" applyBorder="1" applyAlignment="1">
      <alignment horizontal="center"/>
    </xf>
    <xf numFmtId="2" fontId="1" fillId="5" borderId="35" xfId="1" applyNumberFormat="1" applyFont="1" applyFill="1" applyBorder="1" applyAlignment="1">
      <alignment horizontal="center"/>
    </xf>
    <xf numFmtId="2" fontId="13" fillId="0" borderId="35" xfId="1" applyNumberFormat="1" applyFont="1" applyFill="1" applyBorder="1" applyAlignment="1">
      <alignment horizontal="center"/>
    </xf>
    <xf numFmtId="2" fontId="14" fillId="5" borderId="34" xfId="1" applyNumberFormat="1" applyFont="1" applyFill="1" applyBorder="1" applyAlignment="1">
      <alignment horizontal="center"/>
    </xf>
    <xf numFmtId="0" fontId="10" fillId="0" borderId="36" xfId="1" applyFont="1" applyBorder="1"/>
    <xf numFmtId="0" fontId="7" fillId="0" borderId="26" xfId="1" applyFont="1" applyBorder="1"/>
    <xf numFmtId="0" fontId="1" fillId="0" borderId="37" xfId="1" applyBorder="1"/>
    <xf numFmtId="0" fontId="7" fillId="5" borderId="33" xfId="1" applyFont="1" applyFill="1" applyBorder="1" applyAlignment="1">
      <alignment horizontal="left"/>
    </xf>
    <xf numFmtId="0" fontId="1" fillId="5" borderId="27" xfId="1" applyFill="1" applyBorder="1"/>
    <xf numFmtId="0" fontId="1" fillId="5" borderId="0" xfId="1" applyFill="1" applyBorder="1"/>
    <xf numFmtId="0" fontId="1" fillId="0" borderId="32" xfId="1" applyBorder="1"/>
    <xf numFmtId="0" fontId="7" fillId="5" borderId="35" xfId="1" applyFont="1" applyFill="1" applyBorder="1" applyAlignment="1">
      <alignment horizontal="left"/>
    </xf>
    <xf numFmtId="0" fontId="1" fillId="0" borderId="35" xfId="1" applyBorder="1"/>
    <xf numFmtId="0" fontId="1" fillId="0" borderId="33" xfId="1" applyBorder="1" applyAlignment="1">
      <alignment horizontal="left"/>
    </xf>
    <xf numFmtId="0" fontId="1" fillId="0" borderId="27" xfId="1" applyBorder="1" applyAlignment="1">
      <alignment horizontal="center"/>
    </xf>
    <xf numFmtId="0" fontId="14" fillId="0" borderId="27" xfId="1" applyFont="1" applyBorder="1" applyAlignment="1">
      <alignment horizontal="center"/>
    </xf>
    <xf numFmtId="0" fontId="13" fillId="0" borderId="27" xfId="1" applyFont="1" applyBorder="1" applyAlignment="1">
      <alignment horizontal="center"/>
    </xf>
    <xf numFmtId="0" fontId="13" fillId="0" borderId="32" xfId="1" applyFont="1" applyBorder="1" applyAlignment="1">
      <alignment horizontal="center"/>
    </xf>
    <xf numFmtId="0" fontId="14" fillId="0" borderId="32" xfId="1" applyFont="1" applyBorder="1" applyAlignment="1">
      <alignment horizontal="center"/>
    </xf>
    <xf numFmtId="0" fontId="1" fillId="0" borderId="35" xfId="1" applyBorder="1" applyAlignment="1">
      <alignment horizontal="left"/>
    </xf>
    <xf numFmtId="0" fontId="13" fillId="0" borderId="35" xfId="1" applyFont="1" applyBorder="1" applyAlignment="1">
      <alignment horizontal="center"/>
    </xf>
    <xf numFmtId="0" fontId="14" fillId="0" borderId="35" xfId="1" applyFont="1" applyBorder="1" applyAlignment="1">
      <alignment horizontal="center"/>
    </xf>
    <xf numFmtId="0" fontId="13" fillId="5" borderId="33" xfId="1" applyFont="1" applyFill="1" applyBorder="1" applyAlignment="1">
      <alignment horizontal="center"/>
    </xf>
    <xf numFmtId="0" fontId="14" fillId="5" borderId="33" xfId="1" applyFont="1" applyFill="1" applyBorder="1" applyAlignment="1">
      <alignment horizontal="center"/>
    </xf>
    <xf numFmtId="0" fontId="1" fillId="0" borderId="36" xfId="1" applyBorder="1" applyAlignment="1">
      <alignment horizontal="left"/>
    </xf>
    <xf numFmtId="0" fontId="1" fillId="0" borderId="29" xfId="1" applyBorder="1" applyAlignment="1">
      <alignment horizontal="center"/>
    </xf>
    <xf numFmtId="0" fontId="14" fillId="0" borderId="28" xfId="1" applyFont="1" applyBorder="1" applyAlignment="1">
      <alignment horizontal="center"/>
    </xf>
    <xf numFmtId="0" fontId="13" fillId="0" borderId="33" xfId="1" applyFont="1" applyBorder="1" applyAlignment="1">
      <alignment horizontal="center"/>
    </xf>
    <xf numFmtId="0" fontId="14" fillId="0" borderId="33" xfId="1" applyFont="1" applyBorder="1" applyAlignment="1">
      <alignment horizontal="center"/>
    </xf>
    <xf numFmtId="0" fontId="1" fillId="0" borderId="33" xfId="1" applyBorder="1"/>
    <xf numFmtId="0" fontId="1" fillId="0" borderId="28" xfId="1" applyBorder="1" applyAlignment="1">
      <alignment horizontal="left"/>
    </xf>
    <xf numFmtId="0" fontId="13" fillId="0" borderId="38" xfId="1" applyFont="1" applyBorder="1" applyAlignment="1">
      <alignment horizontal="center"/>
    </xf>
    <xf numFmtId="0" fontId="13" fillId="0" borderId="39" xfId="1" applyFont="1" applyBorder="1" applyAlignment="1">
      <alignment horizontal="center"/>
    </xf>
    <xf numFmtId="0" fontId="1" fillId="0" borderId="34" xfId="1" applyBorder="1" applyAlignment="1">
      <alignment horizontal="left"/>
    </xf>
    <xf numFmtId="0" fontId="13" fillId="0" borderId="26" xfId="1" applyFont="1" applyBorder="1" applyAlignment="1">
      <alignment horizontal="center"/>
    </xf>
    <xf numFmtId="0" fontId="1" fillId="0" borderId="35" xfId="1" applyBorder="1" applyAlignment="1">
      <alignment horizontal="center"/>
    </xf>
    <xf numFmtId="0" fontId="13" fillId="0" borderId="37" xfId="1" applyFont="1" applyBorder="1" applyAlignment="1">
      <alignment horizontal="center"/>
    </xf>
    <xf numFmtId="0" fontId="13" fillId="0" borderId="30" xfId="1" applyFont="1" applyBorder="1" applyAlignment="1">
      <alignment horizontal="center"/>
    </xf>
    <xf numFmtId="0" fontId="7" fillId="5" borderId="28" xfId="1" applyFont="1" applyFill="1" applyBorder="1" applyAlignment="1">
      <alignment horizontal="center"/>
    </xf>
    <xf numFmtId="0" fontId="13" fillId="5" borderId="35" xfId="1" applyFont="1" applyFill="1" applyBorder="1" applyAlignment="1">
      <alignment horizontal="center"/>
    </xf>
    <xf numFmtId="166" fontId="13" fillId="0" borderId="29" xfId="1" applyNumberFormat="1" applyFont="1" applyBorder="1" applyAlignment="1">
      <alignment horizontal="center"/>
    </xf>
    <xf numFmtId="0" fontId="18" fillId="5" borderId="36" xfId="1" applyFont="1" applyFill="1" applyBorder="1"/>
    <xf numFmtId="0" fontId="19" fillId="5" borderId="36" xfId="1" applyFont="1" applyFill="1" applyBorder="1" applyAlignment="1">
      <alignment horizontal="center"/>
    </xf>
    <xf numFmtId="0" fontId="20" fillId="0" borderId="26" xfId="1" applyFont="1" applyBorder="1"/>
    <xf numFmtId="0" fontId="7" fillId="0" borderId="28" xfId="1" applyFont="1" applyBorder="1" applyAlignment="1"/>
    <xf numFmtId="0" fontId="7" fillId="0" borderId="32" xfId="1" applyFont="1" applyFill="1" applyBorder="1" applyAlignment="1">
      <alignment horizontal="center"/>
    </xf>
    <xf numFmtId="0" fontId="7" fillId="0" borderId="35" xfId="1" applyFont="1" applyFill="1" applyBorder="1" applyAlignment="1">
      <alignment horizontal="center"/>
    </xf>
    <xf numFmtId="0" fontId="7" fillId="5" borderId="39" xfId="1" applyFont="1" applyFill="1" applyBorder="1" applyAlignment="1">
      <alignment horizontal="left"/>
    </xf>
    <xf numFmtId="0" fontId="1" fillId="5" borderId="38" xfId="1" applyFill="1" applyBorder="1"/>
    <xf numFmtId="0" fontId="7" fillId="5" borderId="34" xfId="1" applyFont="1" applyFill="1" applyBorder="1" applyAlignment="1">
      <alignment horizontal="left"/>
    </xf>
    <xf numFmtId="0" fontId="1" fillId="5" borderId="26" xfId="1" applyFill="1" applyBorder="1"/>
    <xf numFmtId="0" fontId="7" fillId="0" borderId="36" xfId="1" applyFont="1" applyFill="1" applyBorder="1" applyAlignment="1">
      <alignment horizontal="left"/>
    </xf>
    <xf numFmtId="0" fontId="7" fillId="5" borderId="36" xfId="1" applyFont="1" applyFill="1" applyBorder="1" applyAlignment="1">
      <alignment horizontal="left"/>
    </xf>
    <xf numFmtId="0" fontId="7" fillId="0" borderId="36" xfId="1" applyFont="1" applyBorder="1" applyAlignment="1">
      <alignment horizontal="left"/>
    </xf>
    <xf numFmtId="0" fontId="14" fillId="0" borderId="36" xfId="1" applyFont="1" applyFill="1" applyBorder="1" applyAlignment="1">
      <alignment horizontal="center"/>
    </xf>
    <xf numFmtId="0" fontId="13" fillId="0" borderId="36" xfId="1" applyFont="1" applyFill="1" applyBorder="1" applyAlignment="1">
      <alignment horizontal="center"/>
    </xf>
    <xf numFmtId="0" fontId="1" fillId="0" borderId="30" xfId="1" applyBorder="1" applyAlignment="1">
      <alignment horizontal="center"/>
    </xf>
    <xf numFmtId="0" fontId="7" fillId="5" borderId="28" xfId="1" applyFont="1" applyFill="1" applyBorder="1" applyAlignment="1">
      <alignment horizontal="left"/>
    </xf>
    <xf numFmtId="0" fontId="14" fillId="5" borderId="26" xfId="1" applyFont="1" applyFill="1" applyBorder="1" applyAlignment="1">
      <alignment horizontal="center"/>
    </xf>
    <xf numFmtId="0" fontId="13" fillId="5" borderId="26" xfId="1" applyFont="1" applyFill="1" applyBorder="1" applyAlignment="1">
      <alignment horizontal="center"/>
    </xf>
    <xf numFmtId="0" fontId="18" fillId="5" borderId="29" xfId="1" applyFont="1" applyFill="1" applyBorder="1" applyAlignment="1">
      <alignment horizontal="left"/>
    </xf>
    <xf numFmtId="2" fontId="13" fillId="0" borderId="29" xfId="1" applyNumberFormat="1" applyFont="1" applyBorder="1" applyAlignment="1">
      <alignment horizontal="center"/>
    </xf>
    <xf numFmtId="2" fontId="1" fillId="5" borderId="29" xfId="1" applyNumberFormat="1" applyFill="1" applyBorder="1"/>
    <xf numFmtId="0" fontId="1" fillId="0" borderId="0" xfId="1" applyAlignment="1">
      <alignment horizontal="left"/>
    </xf>
    <xf numFmtId="0" fontId="7" fillId="5" borderId="27" xfId="1" applyFont="1" applyFill="1" applyBorder="1"/>
    <xf numFmtId="0" fontId="7" fillId="5" borderId="29" xfId="1" applyFont="1" applyFill="1" applyBorder="1" applyAlignment="1">
      <alignment horizontal="left"/>
    </xf>
    <xf numFmtId="0" fontId="14" fillId="5" borderId="30" xfId="1" applyFont="1" applyFill="1" applyBorder="1" applyAlignment="1">
      <alignment horizontal="center"/>
    </xf>
    <xf numFmtId="0" fontId="13" fillId="5" borderId="30" xfId="1" applyFont="1" applyFill="1" applyBorder="1" applyAlignment="1">
      <alignment horizontal="center"/>
    </xf>
    <xf numFmtId="0" fontId="1" fillId="5" borderId="30" xfId="1" applyFill="1" applyBorder="1" applyAlignment="1">
      <alignment horizontal="center"/>
    </xf>
    <xf numFmtId="0" fontId="14" fillId="0" borderId="36" xfId="1" applyNumberFormat="1" applyFont="1" applyBorder="1" applyAlignment="1">
      <alignment horizontal="center"/>
    </xf>
    <xf numFmtId="0" fontId="1" fillId="5" borderId="27" xfId="1" applyFill="1" applyBorder="1" applyAlignment="1">
      <alignment horizontal="center"/>
    </xf>
    <xf numFmtId="0" fontId="1" fillId="0" borderId="36" xfId="1" applyFont="1" applyBorder="1" applyAlignment="1">
      <alignment horizontal="left"/>
    </xf>
    <xf numFmtId="0" fontId="1" fillId="0" borderId="27" xfId="1" applyFont="1" applyBorder="1" applyAlignment="1">
      <alignment horizontal="left"/>
    </xf>
    <xf numFmtId="0" fontId="14" fillId="5" borderId="27" xfId="1" applyFont="1" applyFill="1" applyBorder="1" applyAlignment="1">
      <alignment horizontal="center"/>
    </xf>
    <xf numFmtId="0" fontId="13" fillId="5" borderId="32" xfId="1" applyFont="1" applyFill="1" applyBorder="1" applyAlignment="1">
      <alignment horizontal="center"/>
    </xf>
    <xf numFmtId="0" fontId="1" fillId="0" borderId="34" xfId="1" applyFont="1" applyBorder="1" applyAlignment="1">
      <alignment horizontal="left"/>
    </xf>
    <xf numFmtId="0" fontId="7" fillId="5" borderId="27" xfId="1" applyFont="1" applyFill="1" applyBorder="1" applyAlignment="1">
      <alignment horizontal="left"/>
    </xf>
    <xf numFmtId="0" fontId="14" fillId="5" borderId="38" xfId="1" applyFont="1" applyFill="1" applyBorder="1" applyAlignment="1">
      <alignment horizontal="center"/>
    </xf>
    <xf numFmtId="0" fontId="13" fillId="5" borderId="38" xfId="1" applyFont="1" applyFill="1" applyBorder="1" applyAlignment="1">
      <alignment horizontal="center"/>
    </xf>
    <xf numFmtId="0" fontId="1" fillId="5" borderId="38" xfId="1" applyFill="1" applyBorder="1" applyAlignment="1">
      <alignment horizontal="center"/>
    </xf>
    <xf numFmtId="0" fontId="14" fillId="5" borderId="39" xfId="1" applyFont="1" applyFill="1" applyBorder="1" applyAlignment="1">
      <alignment horizontal="center"/>
    </xf>
    <xf numFmtId="0" fontId="1" fillId="5" borderId="26" xfId="1" applyFill="1" applyBorder="1" applyAlignment="1">
      <alignment horizontal="center"/>
    </xf>
    <xf numFmtId="0" fontId="14" fillId="5" borderId="37" xfId="1" applyFont="1" applyFill="1" applyBorder="1" applyAlignment="1">
      <alignment horizontal="center"/>
    </xf>
    <xf numFmtId="0" fontId="18" fillId="5" borderId="29" xfId="1" applyFont="1" applyFill="1" applyBorder="1"/>
    <xf numFmtId="2" fontId="1" fillId="5" borderId="36" xfId="1" applyNumberFormat="1" applyFill="1" applyBorder="1" applyAlignment="1">
      <alignment horizontal="center"/>
    </xf>
    <xf numFmtId="2" fontId="14" fillId="5" borderId="36" xfId="1" applyNumberFormat="1" applyFont="1" applyFill="1" applyBorder="1" applyAlignment="1">
      <alignment horizontal="center"/>
    </xf>
    <xf numFmtId="0" fontId="21" fillId="0" borderId="0" xfId="1" applyFont="1"/>
    <xf numFmtId="0" fontId="7" fillId="0" borderId="29" xfId="1" applyFont="1" applyBorder="1" applyAlignment="1">
      <alignment horizontal="center"/>
    </xf>
    <xf numFmtId="0" fontId="7" fillId="0" borderId="30" xfId="1" applyFont="1" applyBorder="1" applyAlignment="1">
      <alignment horizontal="center"/>
    </xf>
    <xf numFmtId="0" fontId="7" fillId="0" borderId="28" xfId="1" applyFont="1" applyFill="1" applyBorder="1" applyAlignment="1">
      <alignment horizontal="center"/>
    </xf>
    <xf numFmtId="0" fontId="7" fillId="5" borderId="0" xfId="1" applyFont="1" applyFill="1" applyAlignment="1">
      <alignment horizontal="left"/>
    </xf>
    <xf numFmtId="0" fontId="1" fillId="0" borderId="38" xfId="1" applyBorder="1" applyAlignment="1">
      <alignment horizontal="left"/>
    </xf>
    <xf numFmtId="167" fontId="13" fillId="0" borderId="27" xfId="1" applyNumberFormat="1" applyFont="1" applyBorder="1" applyAlignment="1">
      <alignment horizontal="center"/>
    </xf>
    <xf numFmtId="0" fontId="13" fillId="5" borderId="27" xfId="1" applyFont="1" applyFill="1" applyBorder="1" applyAlignment="1">
      <alignment horizontal="center"/>
    </xf>
    <xf numFmtId="0" fontId="1" fillId="0" borderId="26" xfId="1" applyFont="1" applyFill="1" applyBorder="1" applyAlignment="1">
      <alignment horizontal="left"/>
    </xf>
    <xf numFmtId="167" fontId="13" fillId="0" borderId="34" xfId="1" applyNumberFormat="1" applyFont="1" applyBorder="1" applyAlignment="1">
      <alignment horizontal="center"/>
    </xf>
    <xf numFmtId="0" fontId="1" fillId="0" borderId="38" xfId="1" applyFont="1" applyFill="1" applyBorder="1" applyAlignment="1">
      <alignment horizontal="left"/>
    </xf>
    <xf numFmtId="167" fontId="13" fillId="0" borderId="36" xfId="1" applyNumberFormat="1" applyFont="1" applyBorder="1" applyAlignment="1">
      <alignment horizontal="center"/>
    </xf>
    <xf numFmtId="0" fontId="1" fillId="5" borderId="31" xfId="1" applyFill="1" applyBorder="1" applyAlignment="1">
      <alignment horizontal="center"/>
    </xf>
    <xf numFmtId="0" fontId="7" fillId="5" borderId="0" xfId="1" applyFont="1" applyFill="1" applyBorder="1" applyAlignment="1">
      <alignment horizontal="left"/>
    </xf>
    <xf numFmtId="167" fontId="22" fillId="5" borderId="0" xfId="1" applyNumberFormat="1" applyFont="1" applyFill="1" applyAlignment="1">
      <alignment horizontal="center"/>
    </xf>
    <xf numFmtId="0" fontId="1" fillId="0" borderId="30" xfId="1" applyBorder="1" applyAlignment="1">
      <alignment horizontal="left"/>
    </xf>
    <xf numFmtId="167" fontId="13" fillId="5" borderId="36" xfId="1" applyNumberFormat="1" applyFont="1" applyFill="1" applyBorder="1" applyAlignment="1">
      <alignment horizontal="center"/>
    </xf>
    <xf numFmtId="0" fontId="1" fillId="6" borderId="36" xfId="1" applyFill="1" applyBorder="1" applyAlignment="1">
      <alignment horizontal="center"/>
    </xf>
    <xf numFmtId="167" fontId="13" fillId="5" borderId="0" xfId="1" applyNumberFormat="1" applyFont="1" applyFill="1" applyAlignment="1">
      <alignment horizontal="center"/>
    </xf>
    <xf numFmtId="0" fontId="23" fillId="0" borderId="38" xfId="1" applyFont="1" applyBorder="1" applyAlignment="1">
      <alignment horizontal="left"/>
    </xf>
    <xf numFmtId="0" fontId="14" fillId="5" borderId="32" xfId="1" applyFont="1" applyFill="1" applyBorder="1" applyAlignment="1">
      <alignment horizontal="center"/>
    </xf>
    <xf numFmtId="0" fontId="23" fillId="0" borderId="26" xfId="1" applyFont="1" applyBorder="1" applyAlignment="1">
      <alignment horizontal="left"/>
    </xf>
    <xf numFmtId="0" fontId="14" fillId="5" borderId="35" xfId="1" applyFont="1" applyFill="1" applyBorder="1" applyAlignment="1">
      <alignment horizontal="center"/>
    </xf>
    <xf numFmtId="0" fontId="23" fillId="0" borderId="0" xfId="1" applyFont="1" applyBorder="1" applyAlignment="1">
      <alignment horizontal="left"/>
    </xf>
    <xf numFmtId="167" fontId="13" fillId="0" borderId="28" xfId="1" applyNumberFormat="1" applyFont="1" applyBorder="1" applyAlignment="1">
      <alignment horizontal="center"/>
    </xf>
    <xf numFmtId="0" fontId="1" fillId="5" borderId="33" xfId="1" applyFill="1" applyBorder="1" applyAlignment="1">
      <alignment horizontal="center"/>
    </xf>
    <xf numFmtId="0" fontId="1" fillId="5" borderId="37" xfId="1" applyFill="1" applyBorder="1" applyAlignment="1">
      <alignment horizontal="center"/>
    </xf>
    <xf numFmtId="167" fontId="13" fillId="5" borderId="34" xfId="1" applyNumberFormat="1" applyFont="1" applyFill="1" applyBorder="1" applyAlignment="1">
      <alignment horizontal="center"/>
    </xf>
    <xf numFmtId="167" fontId="13" fillId="5" borderId="27" xfId="1" applyNumberFormat="1" applyFont="1" applyFill="1" applyBorder="1" applyAlignment="1">
      <alignment horizontal="center"/>
    </xf>
    <xf numFmtId="0" fontId="1" fillId="0" borderId="26" xfId="1" applyBorder="1" applyAlignment="1">
      <alignment horizontal="left"/>
    </xf>
    <xf numFmtId="0" fontId="24" fillId="0" borderId="0" xfId="1" applyFont="1"/>
    <xf numFmtId="0" fontId="25" fillId="0" borderId="0" xfId="1" applyFont="1"/>
    <xf numFmtId="0" fontId="1" fillId="0" borderId="27" xfId="1" applyBorder="1"/>
    <xf numFmtId="9" fontId="7" fillId="0" borderId="28" xfId="1" applyNumberFormat="1" applyFont="1" applyBorder="1" applyAlignment="1">
      <alignment horizontal="center"/>
    </xf>
    <xf numFmtId="0" fontId="25" fillId="0" borderId="28" xfId="1" applyFont="1" applyBorder="1"/>
    <xf numFmtId="0" fontId="7" fillId="0" borderId="33" xfId="1" applyFont="1" applyBorder="1"/>
    <xf numFmtId="9" fontId="7" fillId="0" borderId="0" xfId="1" applyNumberFormat="1" applyFont="1" applyAlignment="1">
      <alignment horizontal="center"/>
    </xf>
    <xf numFmtId="9" fontId="7" fillId="0" borderId="33" xfId="1" applyNumberFormat="1" applyFont="1" applyBorder="1" applyAlignment="1">
      <alignment horizontal="center"/>
    </xf>
    <xf numFmtId="0" fontId="7" fillId="0" borderId="28" xfId="1" applyFont="1" applyBorder="1"/>
    <xf numFmtId="0" fontId="25" fillId="0" borderId="34" xfId="1" applyFont="1" applyBorder="1"/>
    <xf numFmtId="0" fontId="26" fillId="0" borderId="32" xfId="1" applyFont="1" applyBorder="1" applyAlignment="1">
      <alignment horizontal="center"/>
    </xf>
    <xf numFmtId="0" fontId="15" fillId="0" borderId="32" xfId="1" applyFont="1" applyBorder="1" applyAlignment="1">
      <alignment horizontal="center"/>
    </xf>
    <xf numFmtId="0" fontId="27" fillId="0" borderId="32" xfId="1" applyFont="1" applyBorder="1" applyAlignment="1">
      <alignment horizontal="center"/>
    </xf>
    <xf numFmtId="0" fontId="28" fillId="0" borderId="36" xfId="1" applyFont="1" applyBorder="1" applyAlignment="1">
      <alignment horizontal="center"/>
    </xf>
    <xf numFmtId="0" fontId="27" fillId="0" borderId="36" xfId="1" applyFont="1" applyBorder="1" applyAlignment="1">
      <alignment horizontal="center"/>
    </xf>
    <xf numFmtId="0" fontId="27" fillId="0" borderId="29" xfId="1" applyFont="1" applyBorder="1" applyAlignment="1">
      <alignment horizontal="center"/>
    </xf>
    <xf numFmtId="0" fontId="18" fillId="0" borderId="40" xfId="1" applyFont="1" applyBorder="1"/>
    <xf numFmtId="0" fontId="18" fillId="0" borderId="41" xfId="1" applyFont="1" applyBorder="1" applyAlignment="1">
      <alignment horizontal="center"/>
    </xf>
    <xf numFmtId="0" fontId="29" fillId="5" borderId="41" xfId="1" applyFont="1" applyFill="1" applyBorder="1"/>
    <xf numFmtId="0" fontId="30" fillId="0" borderId="42" xfId="1" applyFont="1" applyBorder="1" applyAlignment="1">
      <alignment horizontal="center"/>
    </xf>
    <xf numFmtId="0" fontId="18" fillId="0" borderId="43" xfId="1" applyFont="1" applyBorder="1"/>
    <xf numFmtId="0" fontId="18" fillId="0" borderId="36" xfId="1" applyFont="1" applyBorder="1" applyAlignment="1">
      <alignment horizontal="center"/>
    </xf>
    <xf numFmtId="0" fontId="29" fillId="5" borderId="36" xfId="1" applyFont="1" applyFill="1" applyBorder="1"/>
    <xf numFmtId="1" fontId="30" fillId="0" borderId="44" xfId="1" applyNumberFormat="1" applyFont="1" applyBorder="1" applyAlignment="1">
      <alignment horizontal="center"/>
    </xf>
    <xf numFmtId="167" fontId="30" fillId="0" borderId="44" xfId="1" applyNumberFormat="1" applyFont="1" applyBorder="1" applyAlignment="1">
      <alignment horizontal="center"/>
    </xf>
    <xf numFmtId="0" fontId="18" fillId="0" borderId="45" xfId="1" applyFont="1" applyBorder="1"/>
    <xf numFmtId="0" fontId="18" fillId="0" borderId="46" xfId="1" applyFont="1" applyBorder="1" applyAlignment="1">
      <alignment horizontal="center"/>
    </xf>
    <xf numFmtId="0" fontId="29" fillId="5" borderId="46" xfId="1" applyFont="1" applyFill="1" applyBorder="1"/>
    <xf numFmtId="167" fontId="30" fillId="0" borderId="47" xfId="1" applyNumberFormat="1" applyFont="1" applyBorder="1" applyAlignment="1">
      <alignment horizontal="center"/>
    </xf>
    <xf numFmtId="0" fontId="18" fillId="0" borderId="32" xfId="1" applyFont="1" applyBorder="1" applyAlignment="1">
      <alignment horizontal="center"/>
    </xf>
    <xf numFmtId="0" fontId="18" fillId="0" borderId="27" xfId="1" applyFont="1" applyBorder="1" applyAlignment="1">
      <alignment horizontal="center"/>
    </xf>
    <xf numFmtId="0" fontId="18" fillId="0" borderId="35" xfId="1" applyFont="1" applyBorder="1" applyAlignment="1">
      <alignment horizontal="center"/>
    </xf>
    <xf numFmtId="0" fontId="18" fillId="0" borderId="34" xfId="1" applyFont="1" applyBorder="1" applyAlignment="1">
      <alignment horizontal="center"/>
    </xf>
    <xf numFmtId="0" fontId="18" fillId="5" borderId="36" xfId="1" applyFont="1" applyFill="1" applyBorder="1" applyAlignment="1">
      <alignment horizontal="center"/>
    </xf>
    <xf numFmtId="0" fontId="29" fillId="0" borderId="36" xfId="1" applyFont="1" applyBorder="1" applyAlignment="1">
      <alignment horizontal="left"/>
    </xf>
    <xf numFmtId="0" fontId="29" fillId="0" borderId="36" xfId="1" applyFont="1" applyBorder="1" applyAlignment="1">
      <alignment horizontal="center"/>
    </xf>
    <xf numFmtId="0" fontId="31" fillId="0" borderId="36" xfId="1" applyFont="1" applyBorder="1" applyAlignment="1">
      <alignment horizontal="center"/>
    </xf>
    <xf numFmtId="1" fontId="30" fillId="0" borderId="36" xfId="1" applyNumberFormat="1" applyFont="1" applyBorder="1" applyAlignment="1">
      <alignment horizontal="center"/>
    </xf>
    <xf numFmtId="0" fontId="29" fillId="0" borderId="36" xfId="1" applyFont="1" applyBorder="1"/>
    <xf numFmtId="0" fontId="29" fillId="5" borderId="36" xfId="1" applyFont="1" applyFill="1" applyBorder="1" applyAlignment="1">
      <alignment horizontal="center"/>
    </xf>
    <xf numFmtId="1" fontId="30" fillId="5" borderId="36" xfId="1" applyNumberFormat="1" applyFont="1" applyFill="1" applyBorder="1" applyAlignment="1">
      <alignment horizontal="center"/>
    </xf>
    <xf numFmtId="0" fontId="31" fillId="5" borderId="36" xfId="1" applyFont="1" applyFill="1" applyBorder="1" applyAlignment="1">
      <alignment horizontal="center"/>
    </xf>
    <xf numFmtId="0" fontId="10" fillId="0" borderId="0" xfId="1" applyFont="1"/>
    <xf numFmtId="0" fontId="20" fillId="0" borderId="0" xfId="1" applyFont="1"/>
    <xf numFmtId="0" fontId="32" fillId="0" borderId="0" xfId="1" applyFont="1"/>
    <xf numFmtId="0" fontId="1" fillId="0" borderId="46" xfId="1" applyBorder="1"/>
    <xf numFmtId="0" fontId="1" fillId="0" borderId="46" xfId="1" applyBorder="1" applyAlignment="1">
      <alignment horizontal="center"/>
    </xf>
    <xf numFmtId="0" fontId="14" fillId="0" borderId="46" xfId="1" applyFont="1" applyBorder="1" applyAlignment="1">
      <alignment horizontal="center"/>
    </xf>
    <xf numFmtId="0" fontId="13" fillId="0" borderId="46" xfId="1" applyFont="1" applyBorder="1" applyAlignment="1">
      <alignment horizontal="center"/>
    </xf>
    <xf numFmtId="0" fontId="7" fillId="0" borderId="36" xfId="1" applyFont="1" applyBorder="1"/>
    <xf numFmtId="1" fontId="13" fillId="0" borderId="36" xfId="1" applyNumberFormat="1" applyFont="1" applyBorder="1" applyAlignment="1">
      <alignment horizontal="center"/>
    </xf>
    <xf numFmtId="1" fontId="13" fillId="5" borderId="36" xfId="1" applyNumberFormat="1" applyFont="1" applyFill="1" applyBorder="1" applyAlignment="1">
      <alignment horizontal="center"/>
    </xf>
    <xf numFmtId="1" fontId="13" fillId="0" borderId="0" xfId="1" applyNumberFormat="1" applyFont="1"/>
    <xf numFmtId="0" fontId="1" fillId="0" borderId="48" xfId="1" applyBorder="1"/>
    <xf numFmtId="0" fontId="7" fillId="0" borderId="0" xfId="1" applyFont="1"/>
    <xf numFmtId="0" fontId="7" fillId="0" borderId="49" xfId="1" applyFont="1" applyBorder="1" applyAlignment="1">
      <alignment horizontal="center"/>
    </xf>
    <xf numFmtId="0" fontId="7" fillId="0" borderId="50" xfId="1" applyFont="1" applyBorder="1" applyAlignment="1">
      <alignment horizontal="center"/>
    </xf>
    <xf numFmtId="0" fontId="7" fillId="0" borderId="51" xfId="1" applyFont="1" applyBorder="1" applyAlignment="1">
      <alignment horizontal="center"/>
    </xf>
    <xf numFmtId="0" fontId="1" fillId="0" borderId="52" xfId="1" applyBorder="1"/>
    <xf numFmtId="0" fontId="7" fillId="0" borderId="53" xfId="1" applyFont="1" applyBorder="1" applyAlignment="1">
      <alignment horizontal="center"/>
    </xf>
    <xf numFmtId="0" fontId="7" fillId="0" borderId="54" xfId="1" applyFont="1" applyBorder="1" applyAlignment="1">
      <alignment horizontal="center"/>
    </xf>
    <xf numFmtId="0" fontId="7" fillId="0" borderId="55" xfId="1" applyFont="1" applyBorder="1"/>
    <xf numFmtId="0" fontId="14" fillId="0" borderId="56" xfId="1" applyFont="1" applyBorder="1" applyAlignment="1">
      <alignment horizontal="center"/>
    </xf>
    <xf numFmtId="0" fontId="13" fillId="0" borderId="56" xfId="1" applyFont="1" applyBorder="1" applyAlignment="1">
      <alignment horizontal="center"/>
    </xf>
    <xf numFmtId="0" fontId="1" fillId="5" borderId="56" xfId="1" applyFill="1" applyBorder="1" applyAlignment="1">
      <alignment horizontal="center"/>
    </xf>
    <xf numFmtId="0" fontId="1" fillId="5" borderId="57" xfId="1" applyFill="1" applyBorder="1" applyAlignment="1">
      <alignment horizontal="center"/>
    </xf>
    <xf numFmtId="0" fontId="1" fillId="5" borderId="55" xfId="1" applyFill="1" applyBorder="1"/>
    <xf numFmtId="0" fontId="7" fillId="0" borderId="52" xfId="1" applyFont="1" applyBorder="1"/>
    <xf numFmtId="0" fontId="1" fillId="5" borderId="48" xfId="1" applyFill="1" applyBorder="1" applyAlignment="1">
      <alignment horizontal="center"/>
    </xf>
    <xf numFmtId="0" fontId="14" fillId="0" borderId="48" xfId="1" applyFont="1" applyBorder="1" applyAlignment="1">
      <alignment horizontal="center"/>
    </xf>
    <xf numFmtId="0" fontId="13" fillId="0" borderId="48" xfId="1" applyFont="1" applyBorder="1" applyAlignment="1">
      <alignment horizontal="center"/>
    </xf>
    <xf numFmtId="0" fontId="1" fillId="5" borderId="54" xfId="1" applyFill="1" applyBorder="1" applyAlignment="1">
      <alignment horizontal="center"/>
    </xf>
    <xf numFmtId="0" fontId="13" fillId="0" borderId="54" xfId="1" applyFont="1" applyBorder="1" applyAlignment="1">
      <alignment horizontal="center"/>
    </xf>
    <xf numFmtId="0" fontId="1" fillId="0" borderId="0" xfId="1" applyAlignment="1">
      <alignment horizontal="center"/>
    </xf>
    <xf numFmtId="2" fontId="7" fillId="0" borderId="53" xfId="1" applyNumberFormat="1" applyFont="1" applyBorder="1" applyAlignment="1">
      <alignment horizontal="center"/>
    </xf>
    <xf numFmtId="2" fontId="1" fillId="0" borderId="56" xfId="1" applyNumberFormat="1" applyBorder="1" applyAlignment="1">
      <alignment horizontal="center"/>
    </xf>
    <xf numFmtId="2" fontId="1" fillId="0" borderId="48" xfId="1" applyNumberFormat="1" applyBorder="1" applyAlignment="1">
      <alignment horizontal="center"/>
    </xf>
    <xf numFmtId="0" fontId="34" fillId="0" borderId="58" xfId="2" applyFont="1" applyBorder="1" applyAlignment="1">
      <alignment horizontal="center" vertical="center" wrapText="1"/>
    </xf>
    <xf numFmtId="0" fontId="34" fillId="0" borderId="59" xfId="2" applyFont="1" applyBorder="1" applyAlignment="1">
      <alignment horizontal="center" vertical="center" wrapText="1"/>
    </xf>
    <xf numFmtId="0" fontId="35" fillId="0" borderId="0" xfId="2" applyFont="1" applyAlignment="1">
      <alignment wrapText="1"/>
    </xf>
    <xf numFmtId="0" fontId="35" fillId="0" borderId="61" xfId="2" applyFont="1" applyBorder="1" applyAlignment="1">
      <alignment vertical="center" wrapText="1"/>
    </xf>
    <xf numFmtId="0" fontId="35" fillId="0" borderId="62" xfId="2" applyFont="1" applyBorder="1" applyAlignment="1">
      <alignment horizontal="center" vertical="center" wrapText="1"/>
    </xf>
    <xf numFmtId="2" fontId="35" fillId="0" borderId="58" xfId="2" applyNumberFormat="1" applyFont="1" applyBorder="1" applyAlignment="1">
      <alignment horizontal="center" vertical="center" wrapText="1"/>
    </xf>
    <xf numFmtId="0" fontId="35" fillId="0" borderId="58" xfId="2" applyFont="1" applyBorder="1" applyAlignment="1">
      <alignment horizontal="center" vertical="center" wrapText="1"/>
    </xf>
    <xf numFmtId="2" fontId="35" fillId="0" borderId="61" xfId="2" applyNumberFormat="1" applyFont="1" applyBorder="1" applyAlignment="1">
      <alignment horizontal="center" vertical="center" wrapText="1"/>
    </xf>
    <xf numFmtId="0" fontId="35" fillId="0" borderId="61" xfId="2" applyFont="1" applyBorder="1" applyAlignment="1">
      <alignment horizontal="center" vertical="center" wrapText="1"/>
    </xf>
    <xf numFmtId="44" fontId="35" fillId="0" borderId="61" xfId="3" applyFont="1" applyBorder="1" applyAlignment="1">
      <alignment horizontal="center" vertical="center" wrapText="1"/>
    </xf>
    <xf numFmtId="2" fontId="36" fillId="0" borderId="62" xfId="2" applyNumberFormat="1" applyFont="1" applyBorder="1" applyAlignment="1">
      <alignment horizontal="center" vertical="center" wrapText="1"/>
    </xf>
    <xf numFmtId="0" fontId="37" fillId="0" borderId="0" xfId="2" applyFont="1" applyAlignment="1">
      <alignment wrapText="1"/>
    </xf>
    <xf numFmtId="0" fontId="35" fillId="0" borderId="58" xfId="2" applyFont="1" applyBorder="1" applyAlignment="1">
      <alignment wrapText="1"/>
    </xf>
    <xf numFmtId="0" fontId="35" fillId="0" borderId="59" xfId="2" applyFont="1" applyBorder="1" applyAlignment="1">
      <alignment horizontal="center" vertical="center" wrapText="1"/>
    </xf>
    <xf numFmtId="2" fontId="35" fillId="0" borderId="59" xfId="2" applyNumberFormat="1" applyFont="1" applyBorder="1" applyAlignment="1">
      <alignment horizontal="center" vertical="center" wrapText="1"/>
    </xf>
    <xf numFmtId="0" fontId="35" fillId="0" borderId="61" xfId="2" applyFont="1" applyBorder="1" applyAlignment="1">
      <alignment wrapText="1"/>
    </xf>
    <xf numFmtId="2" fontId="35" fillId="0" borderId="62" xfId="2" applyNumberFormat="1" applyFont="1" applyBorder="1" applyAlignment="1">
      <alignment horizontal="center" vertical="center" wrapText="1"/>
    </xf>
    <xf numFmtId="0" fontId="39" fillId="0" borderId="0" xfId="2" applyFont="1" applyAlignment="1">
      <alignment wrapText="1"/>
    </xf>
    <xf numFmtId="0" fontId="35" fillId="0" borderId="0" xfId="2" applyFont="1" applyAlignment="1">
      <alignment vertical="center" wrapText="1"/>
    </xf>
    <xf numFmtId="0" fontId="41" fillId="0" borderId="0" xfId="4" applyFont="1"/>
    <xf numFmtId="0" fontId="42" fillId="0" borderId="0" xfId="4" applyFont="1"/>
    <xf numFmtId="0" fontId="1" fillId="0" borderId="0" xfId="4" applyFont="1" applyBorder="1"/>
    <xf numFmtId="0" fontId="7" fillId="0" borderId="0" xfId="4" applyFont="1" applyAlignment="1">
      <alignment horizontal="left" vertical="center"/>
    </xf>
    <xf numFmtId="0" fontId="32" fillId="0" borderId="29" xfId="4" applyFont="1" applyBorder="1"/>
    <xf numFmtId="0" fontId="32" fillId="0" borderId="30" xfId="4" applyFont="1" applyBorder="1"/>
    <xf numFmtId="0" fontId="32" fillId="0" borderId="31" xfId="4" applyFont="1" applyBorder="1"/>
    <xf numFmtId="0" fontId="32" fillId="0" borderId="36" xfId="4" applyFont="1" applyBorder="1" applyAlignment="1">
      <alignment horizontal="center"/>
    </xf>
    <xf numFmtId="0" fontId="42" fillId="0" borderId="29" xfId="4" applyFont="1" applyBorder="1"/>
    <xf numFmtId="0" fontId="42" fillId="0" borderId="30" xfId="4" applyFont="1" applyBorder="1"/>
    <xf numFmtId="0" fontId="42" fillId="0" borderId="31" xfId="4" applyFont="1" applyBorder="1"/>
    <xf numFmtId="0" fontId="42" fillId="0" borderId="36" xfId="4" applyFont="1" applyBorder="1" applyAlignment="1">
      <alignment horizontal="center"/>
    </xf>
    <xf numFmtId="168" fontId="13" fillId="0" borderId="36" xfId="4" applyNumberFormat="1" applyFont="1" applyBorder="1" applyAlignment="1">
      <alignment horizontal="center"/>
    </xf>
    <xf numFmtId="2" fontId="42" fillId="0" borderId="36" xfId="4" applyNumberFormat="1" applyFont="1" applyBorder="1"/>
    <xf numFmtId="168" fontId="13" fillId="0" borderId="36" xfId="4" quotePrefix="1" applyNumberFormat="1" applyFont="1" applyBorder="1" applyAlignment="1">
      <alignment horizontal="center"/>
    </xf>
    <xf numFmtId="0" fontId="1" fillId="0" borderId="36" xfId="4" applyFont="1" applyBorder="1" applyAlignment="1">
      <alignment horizontal="center"/>
    </xf>
    <xf numFmtId="169" fontId="7" fillId="0" borderId="36" xfId="4" applyNumberFormat="1" applyFont="1" applyBorder="1" applyAlignment="1">
      <alignment vertical="center"/>
    </xf>
    <xf numFmtId="0" fontId="1" fillId="0" borderId="0" xfId="4" applyFont="1" applyBorder="1" applyAlignment="1">
      <alignment horizontal="center"/>
    </xf>
    <xf numFmtId="0" fontId="43" fillId="0" borderId="0" xfId="5"/>
    <xf numFmtId="168" fontId="44" fillId="0" borderId="36" xfId="4" applyNumberFormat="1" applyFont="1" applyBorder="1" applyAlignment="1">
      <alignment horizontal="center"/>
    </xf>
    <xf numFmtId="0" fontId="44" fillId="0" borderId="36" xfId="4" applyFont="1" applyBorder="1" applyAlignment="1">
      <alignment horizontal="center"/>
    </xf>
    <xf numFmtId="0" fontId="42" fillId="0" borderId="0" xfId="4" applyFont="1" applyAlignment="1">
      <alignment horizontal="left" vertical="center"/>
    </xf>
    <xf numFmtId="0" fontId="42" fillId="0" borderId="26" xfId="4" applyFont="1" applyBorder="1" applyAlignment="1">
      <alignment horizontal="left" vertical="center"/>
    </xf>
    <xf numFmtId="0" fontId="7" fillId="0" borderId="29" xfId="4" applyFont="1" applyBorder="1" applyAlignment="1">
      <alignment horizontal="right" vertical="center"/>
    </xf>
    <xf numFmtId="0" fontId="7" fillId="0" borderId="30" xfId="4" applyFont="1" applyBorder="1" applyAlignment="1">
      <alignment horizontal="right" vertical="center"/>
    </xf>
    <xf numFmtId="0" fontId="7" fillId="0" borderId="31" xfId="4" applyFont="1" applyBorder="1" applyAlignment="1">
      <alignment horizontal="right" vertical="center"/>
    </xf>
    <xf numFmtId="0" fontId="34" fillId="0" borderId="55" xfId="2" applyFont="1" applyBorder="1" applyAlignment="1">
      <alignment horizontal="left" vertical="center" wrapText="1"/>
    </xf>
    <xf numFmtId="0" fontId="34" fillId="0" borderId="60" xfId="2" applyFont="1" applyBorder="1" applyAlignment="1">
      <alignment horizontal="left" vertical="center" wrapText="1"/>
    </xf>
    <xf numFmtId="0" fontId="34" fillId="0" borderId="59" xfId="2" applyFont="1" applyBorder="1" applyAlignment="1">
      <alignment horizontal="left" vertical="center" wrapText="1"/>
    </xf>
    <xf numFmtId="0" fontId="36" fillId="0" borderId="55" xfId="2" applyFont="1" applyBorder="1" applyAlignment="1">
      <alignment horizontal="right" vertical="center" wrapText="1"/>
    </xf>
    <xf numFmtId="0" fontId="36" fillId="0" borderId="60" xfId="2" applyFont="1" applyBorder="1" applyAlignment="1">
      <alignment horizontal="right" vertical="center" wrapText="1"/>
    </xf>
    <xf numFmtId="0" fontId="36" fillId="0" borderId="59" xfId="2" applyFont="1" applyBorder="1" applyAlignment="1">
      <alignment horizontal="right" vertical="center" wrapText="1"/>
    </xf>
    <xf numFmtId="0" fontId="38" fillId="0" borderId="49" xfId="2" applyFont="1" applyBorder="1" applyAlignment="1">
      <alignment horizontal="center" vertical="center" wrapText="1"/>
    </xf>
    <xf numFmtId="0" fontId="38" fillId="0" borderId="63" xfId="2" applyFont="1" applyBorder="1" applyAlignment="1">
      <alignment horizontal="center" vertical="center" wrapText="1"/>
    </xf>
    <xf numFmtId="0" fontId="38" fillId="0" borderId="64" xfId="2" applyFont="1" applyBorder="1" applyAlignment="1">
      <alignment horizontal="center" vertical="center" wrapText="1"/>
    </xf>
    <xf numFmtId="0" fontId="38" fillId="0" borderId="52" xfId="2" applyFont="1" applyBorder="1" applyAlignment="1">
      <alignment horizontal="center" vertical="center" wrapText="1"/>
    </xf>
    <xf numFmtId="0" fontId="38" fillId="0" borderId="66" xfId="2" applyFont="1" applyBorder="1" applyAlignment="1">
      <alignment horizontal="center" vertical="center" wrapText="1"/>
    </xf>
    <xf numFmtId="0" fontId="38" fillId="0" borderId="62" xfId="2" applyFont="1" applyBorder="1" applyAlignment="1">
      <alignment horizontal="center" vertical="center" wrapText="1"/>
    </xf>
    <xf numFmtId="44" fontId="38" fillId="0" borderId="65" xfId="3" applyFont="1" applyBorder="1" applyAlignment="1">
      <alignment horizontal="center" vertical="center" wrapText="1"/>
    </xf>
    <xf numFmtId="44" fontId="38" fillId="0" borderId="61" xfId="3" applyFont="1" applyBorder="1" applyAlignment="1">
      <alignment horizontal="center" vertical="center" wrapText="1"/>
    </xf>
    <xf numFmtId="0" fontId="7" fillId="5" borderId="29" xfId="1" applyFont="1" applyFill="1" applyBorder="1" applyAlignment="1">
      <alignment horizontal="left" vertical="center"/>
    </xf>
    <xf numFmtId="0" fontId="7" fillId="5" borderId="30" xfId="1" applyFont="1" applyFill="1" applyBorder="1" applyAlignment="1">
      <alignment horizontal="left" vertical="center"/>
    </xf>
    <xf numFmtId="0" fontId="7" fillId="5" borderId="31" xfId="1" applyFont="1" applyFill="1" applyBorder="1" applyAlignment="1">
      <alignment horizontal="left" vertical="center"/>
    </xf>
    <xf numFmtId="0" fontId="7" fillId="5" borderId="29" xfId="1" applyFont="1" applyFill="1" applyBorder="1" applyAlignment="1">
      <alignment vertical="center"/>
    </xf>
    <xf numFmtId="0" fontId="7" fillId="5" borderId="30" xfId="1" applyFont="1" applyFill="1" applyBorder="1" applyAlignment="1">
      <alignment vertical="center"/>
    </xf>
    <xf numFmtId="0" fontId="7" fillId="5" borderId="31" xfId="1" applyFont="1" applyFill="1" applyBorder="1" applyAlignment="1">
      <alignment vertical="center"/>
    </xf>
    <xf numFmtId="0" fontId="7" fillId="0" borderId="32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164" fontId="14" fillId="0" borderId="36" xfId="1" applyNumberFormat="1" applyFont="1" applyBorder="1" applyAlignment="1">
      <alignment horizontal="center"/>
    </xf>
  </cellXfs>
  <cellStyles count="6">
    <cellStyle name="Moneda 2" xfId="3" xr:uid="{00000000-0005-0000-0000-000000000000}"/>
    <cellStyle name="Normal" xfId="0" builtinId="0"/>
    <cellStyle name="Normal 2" xfId="1" xr:uid="{00000000-0005-0000-0000-000002000000}"/>
    <cellStyle name="Normal 3" xfId="4" xr:uid="{00000000-0005-0000-0000-000003000000}"/>
    <cellStyle name="Normal 4" xfId="2" xr:uid="{00000000-0005-0000-0000-000004000000}"/>
    <cellStyle name="Normal 5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"/>
  <sheetViews>
    <sheetView workbookViewId="0">
      <selection activeCell="E14" sqref="E14"/>
    </sheetView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"/>
  <sheetViews>
    <sheetView view="pageBreakPreview" topLeftCell="A10" zoomScale="90" zoomScaleNormal="100" zoomScaleSheetLayoutView="90" workbookViewId="0">
      <selection activeCell="F49" sqref="F49"/>
    </sheetView>
  </sheetViews>
  <sheetFormatPr baseColWidth="10" defaultRowHeight="12.75" x14ac:dyDescent="0.2"/>
  <cols>
    <col min="1" max="3" width="11.42578125" style="412"/>
    <col min="4" max="4" width="12" style="412" customWidth="1"/>
    <col min="5" max="5" width="11" style="412" customWidth="1"/>
    <col min="6" max="6" width="9.85546875" style="412" customWidth="1"/>
    <col min="7" max="7" width="14.140625" style="412" customWidth="1"/>
    <col min="8" max="8" width="16.42578125" style="412" customWidth="1"/>
    <col min="9" max="259" width="11.42578125" style="412"/>
    <col min="260" max="260" width="12" style="412" customWidth="1"/>
    <col min="261" max="261" width="9.42578125" style="412" customWidth="1"/>
    <col min="262" max="262" width="9.85546875" style="412" customWidth="1"/>
    <col min="263" max="263" width="14.140625" style="412" customWidth="1"/>
    <col min="264" max="264" width="17.140625" style="412" customWidth="1"/>
    <col min="265" max="515" width="11.42578125" style="412"/>
    <col min="516" max="516" width="12" style="412" customWidth="1"/>
    <col min="517" max="517" width="9.42578125" style="412" customWidth="1"/>
    <col min="518" max="518" width="9.85546875" style="412" customWidth="1"/>
    <col min="519" max="519" width="14.140625" style="412" customWidth="1"/>
    <col min="520" max="520" width="17.140625" style="412" customWidth="1"/>
    <col min="521" max="771" width="11.42578125" style="412"/>
    <col min="772" max="772" width="12" style="412" customWidth="1"/>
    <col min="773" max="773" width="9.42578125" style="412" customWidth="1"/>
    <col min="774" max="774" width="9.85546875" style="412" customWidth="1"/>
    <col min="775" max="775" width="14.140625" style="412" customWidth="1"/>
    <col min="776" max="776" width="17.140625" style="412" customWidth="1"/>
    <col min="777" max="1027" width="11.42578125" style="412"/>
    <col min="1028" max="1028" width="12" style="412" customWidth="1"/>
    <col min="1029" max="1029" width="9.42578125" style="412" customWidth="1"/>
    <col min="1030" max="1030" width="9.85546875" style="412" customWidth="1"/>
    <col min="1031" max="1031" width="14.140625" style="412" customWidth="1"/>
    <col min="1032" max="1032" width="17.140625" style="412" customWidth="1"/>
    <col min="1033" max="1283" width="11.42578125" style="412"/>
    <col min="1284" max="1284" width="12" style="412" customWidth="1"/>
    <col min="1285" max="1285" width="9.42578125" style="412" customWidth="1"/>
    <col min="1286" max="1286" width="9.85546875" style="412" customWidth="1"/>
    <col min="1287" max="1287" width="14.140625" style="412" customWidth="1"/>
    <col min="1288" max="1288" width="17.140625" style="412" customWidth="1"/>
    <col min="1289" max="1539" width="11.42578125" style="412"/>
    <col min="1540" max="1540" width="12" style="412" customWidth="1"/>
    <col min="1541" max="1541" width="9.42578125" style="412" customWidth="1"/>
    <col min="1542" max="1542" width="9.85546875" style="412" customWidth="1"/>
    <col min="1543" max="1543" width="14.140625" style="412" customWidth="1"/>
    <col min="1544" max="1544" width="17.140625" style="412" customWidth="1"/>
    <col min="1545" max="1795" width="11.42578125" style="412"/>
    <col min="1796" max="1796" width="12" style="412" customWidth="1"/>
    <col min="1797" max="1797" width="9.42578125" style="412" customWidth="1"/>
    <col min="1798" max="1798" width="9.85546875" style="412" customWidth="1"/>
    <col min="1799" max="1799" width="14.140625" style="412" customWidth="1"/>
    <col min="1800" max="1800" width="17.140625" style="412" customWidth="1"/>
    <col min="1801" max="2051" width="11.42578125" style="412"/>
    <col min="2052" max="2052" width="12" style="412" customWidth="1"/>
    <col min="2053" max="2053" width="9.42578125" style="412" customWidth="1"/>
    <col min="2054" max="2054" width="9.85546875" style="412" customWidth="1"/>
    <col min="2055" max="2055" width="14.140625" style="412" customWidth="1"/>
    <col min="2056" max="2056" width="17.140625" style="412" customWidth="1"/>
    <col min="2057" max="2307" width="11.42578125" style="412"/>
    <col min="2308" max="2308" width="12" style="412" customWidth="1"/>
    <col min="2309" max="2309" width="9.42578125" style="412" customWidth="1"/>
    <col min="2310" max="2310" width="9.85546875" style="412" customWidth="1"/>
    <col min="2311" max="2311" width="14.140625" style="412" customWidth="1"/>
    <col min="2312" max="2312" width="17.140625" style="412" customWidth="1"/>
    <col min="2313" max="2563" width="11.42578125" style="412"/>
    <col min="2564" max="2564" width="12" style="412" customWidth="1"/>
    <col min="2565" max="2565" width="9.42578125" style="412" customWidth="1"/>
    <col min="2566" max="2566" width="9.85546875" style="412" customWidth="1"/>
    <col min="2567" max="2567" width="14.140625" style="412" customWidth="1"/>
    <col min="2568" max="2568" width="17.140625" style="412" customWidth="1"/>
    <col min="2569" max="2819" width="11.42578125" style="412"/>
    <col min="2820" max="2820" width="12" style="412" customWidth="1"/>
    <col min="2821" max="2821" width="9.42578125" style="412" customWidth="1"/>
    <col min="2822" max="2822" width="9.85546875" style="412" customWidth="1"/>
    <col min="2823" max="2823" width="14.140625" style="412" customWidth="1"/>
    <col min="2824" max="2824" width="17.140625" style="412" customWidth="1"/>
    <col min="2825" max="3075" width="11.42578125" style="412"/>
    <col min="3076" max="3076" width="12" style="412" customWidth="1"/>
    <col min="3077" max="3077" width="9.42578125" style="412" customWidth="1"/>
    <col min="3078" max="3078" width="9.85546875" style="412" customWidth="1"/>
    <col min="3079" max="3079" width="14.140625" style="412" customWidth="1"/>
    <col min="3080" max="3080" width="17.140625" style="412" customWidth="1"/>
    <col min="3081" max="3331" width="11.42578125" style="412"/>
    <col min="3332" max="3332" width="12" style="412" customWidth="1"/>
    <col min="3333" max="3333" width="9.42578125" style="412" customWidth="1"/>
    <col min="3334" max="3334" width="9.85546875" style="412" customWidth="1"/>
    <col min="3335" max="3335" width="14.140625" style="412" customWidth="1"/>
    <col min="3336" max="3336" width="17.140625" style="412" customWidth="1"/>
    <col min="3337" max="3587" width="11.42578125" style="412"/>
    <col min="3588" max="3588" width="12" style="412" customWidth="1"/>
    <col min="3589" max="3589" width="9.42578125" style="412" customWidth="1"/>
    <col min="3590" max="3590" width="9.85546875" style="412" customWidth="1"/>
    <col min="3591" max="3591" width="14.140625" style="412" customWidth="1"/>
    <col min="3592" max="3592" width="17.140625" style="412" customWidth="1"/>
    <col min="3593" max="3843" width="11.42578125" style="412"/>
    <col min="3844" max="3844" width="12" style="412" customWidth="1"/>
    <col min="3845" max="3845" width="9.42578125" style="412" customWidth="1"/>
    <col min="3846" max="3846" width="9.85546875" style="412" customWidth="1"/>
    <col min="3847" max="3847" width="14.140625" style="412" customWidth="1"/>
    <col min="3848" max="3848" width="17.140625" style="412" customWidth="1"/>
    <col min="3849" max="4099" width="11.42578125" style="412"/>
    <col min="4100" max="4100" width="12" style="412" customWidth="1"/>
    <col min="4101" max="4101" width="9.42578125" style="412" customWidth="1"/>
    <col min="4102" max="4102" width="9.85546875" style="412" customWidth="1"/>
    <col min="4103" max="4103" width="14.140625" style="412" customWidth="1"/>
    <col min="4104" max="4104" width="17.140625" style="412" customWidth="1"/>
    <col min="4105" max="4355" width="11.42578125" style="412"/>
    <col min="4356" max="4356" width="12" style="412" customWidth="1"/>
    <col min="4357" max="4357" width="9.42578125" style="412" customWidth="1"/>
    <col min="4358" max="4358" width="9.85546875" style="412" customWidth="1"/>
    <col min="4359" max="4359" width="14.140625" style="412" customWidth="1"/>
    <col min="4360" max="4360" width="17.140625" style="412" customWidth="1"/>
    <col min="4361" max="4611" width="11.42578125" style="412"/>
    <col min="4612" max="4612" width="12" style="412" customWidth="1"/>
    <col min="4613" max="4613" width="9.42578125" style="412" customWidth="1"/>
    <col min="4614" max="4614" width="9.85546875" style="412" customWidth="1"/>
    <col min="4615" max="4615" width="14.140625" style="412" customWidth="1"/>
    <col min="4616" max="4616" width="17.140625" style="412" customWidth="1"/>
    <col min="4617" max="4867" width="11.42578125" style="412"/>
    <col min="4868" max="4868" width="12" style="412" customWidth="1"/>
    <col min="4869" max="4869" width="9.42578125" style="412" customWidth="1"/>
    <col min="4870" max="4870" width="9.85546875" style="412" customWidth="1"/>
    <col min="4871" max="4871" width="14.140625" style="412" customWidth="1"/>
    <col min="4872" max="4872" width="17.140625" style="412" customWidth="1"/>
    <col min="4873" max="5123" width="11.42578125" style="412"/>
    <col min="5124" max="5124" width="12" style="412" customWidth="1"/>
    <col min="5125" max="5125" width="9.42578125" style="412" customWidth="1"/>
    <col min="5126" max="5126" width="9.85546875" style="412" customWidth="1"/>
    <col min="5127" max="5127" width="14.140625" style="412" customWidth="1"/>
    <col min="5128" max="5128" width="17.140625" style="412" customWidth="1"/>
    <col min="5129" max="5379" width="11.42578125" style="412"/>
    <col min="5380" max="5380" width="12" style="412" customWidth="1"/>
    <col min="5381" max="5381" width="9.42578125" style="412" customWidth="1"/>
    <col min="5382" max="5382" width="9.85546875" style="412" customWidth="1"/>
    <col min="5383" max="5383" width="14.140625" style="412" customWidth="1"/>
    <col min="5384" max="5384" width="17.140625" style="412" customWidth="1"/>
    <col min="5385" max="5635" width="11.42578125" style="412"/>
    <col min="5636" max="5636" width="12" style="412" customWidth="1"/>
    <col min="5637" max="5637" width="9.42578125" style="412" customWidth="1"/>
    <col min="5638" max="5638" width="9.85546875" style="412" customWidth="1"/>
    <col min="5639" max="5639" width="14.140625" style="412" customWidth="1"/>
    <col min="5640" max="5640" width="17.140625" style="412" customWidth="1"/>
    <col min="5641" max="5891" width="11.42578125" style="412"/>
    <col min="5892" max="5892" width="12" style="412" customWidth="1"/>
    <col min="5893" max="5893" width="9.42578125" style="412" customWidth="1"/>
    <col min="5894" max="5894" width="9.85546875" style="412" customWidth="1"/>
    <col min="5895" max="5895" width="14.140625" style="412" customWidth="1"/>
    <col min="5896" max="5896" width="17.140625" style="412" customWidth="1"/>
    <col min="5897" max="6147" width="11.42578125" style="412"/>
    <col min="6148" max="6148" width="12" style="412" customWidth="1"/>
    <col min="6149" max="6149" width="9.42578125" style="412" customWidth="1"/>
    <col min="6150" max="6150" width="9.85546875" style="412" customWidth="1"/>
    <col min="6151" max="6151" width="14.140625" style="412" customWidth="1"/>
    <col min="6152" max="6152" width="17.140625" style="412" customWidth="1"/>
    <col min="6153" max="6403" width="11.42578125" style="412"/>
    <col min="6404" max="6404" width="12" style="412" customWidth="1"/>
    <col min="6405" max="6405" width="9.42578125" style="412" customWidth="1"/>
    <col min="6406" max="6406" width="9.85546875" style="412" customWidth="1"/>
    <col min="6407" max="6407" width="14.140625" style="412" customWidth="1"/>
    <col min="6408" max="6408" width="17.140625" style="412" customWidth="1"/>
    <col min="6409" max="6659" width="11.42578125" style="412"/>
    <col min="6660" max="6660" width="12" style="412" customWidth="1"/>
    <col min="6661" max="6661" width="9.42578125" style="412" customWidth="1"/>
    <col min="6662" max="6662" width="9.85546875" style="412" customWidth="1"/>
    <col min="6663" max="6663" width="14.140625" style="412" customWidth="1"/>
    <col min="6664" max="6664" width="17.140625" style="412" customWidth="1"/>
    <col min="6665" max="6915" width="11.42578125" style="412"/>
    <col min="6916" max="6916" width="12" style="412" customWidth="1"/>
    <col min="6917" max="6917" width="9.42578125" style="412" customWidth="1"/>
    <col min="6918" max="6918" width="9.85546875" style="412" customWidth="1"/>
    <col min="6919" max="6919" width="14.140625" style="412" customWidth="1"/>
    <col min="6920" max="6920" width="17.140625" style="412" customWidth="1"/>
    <col min="6921" max="7171" width="11.42578125" style="412"/>
    <col min="7172" max="7172" width="12" style="412" customWidth="1"/>
    <col min="7173" max="7173" width="9.42578125" style="412" customWidth="1"/>
    <col min="7174" max="7174" width="9.85546875" style="412" customWidth="1"/>
    <col min="7175" max="7175" width="14.140625" style="412" customWidth="1"/>
    <col min="7176" max="7176" width="17.140625" style="412" customWidth="1"/>
    <col min="7177" max="7427" width="11.42578125" style="412"/>
    <col min="7428" max="7428" width="12" style="412" customWidth="1"/>
    <col min="7429" max="7429" width="9.42578125" style="412" customWidth="1"/>
    <col min="7430" max="7430" width="9.85546875" style="412" customWidth="1"/>
    <col min="7431" max="7431" width="14.140625" style="412" customWidth="1"/>
    <col min="7432" max="7432" width="17.140625" style="412" customWidth="1"/>
    <col min="7433" max="7683" width="11.42578125" style="412"/>
    <col min="7684" max="7684" width="12" style="412" customWidth="1"/>
    <col min="7685" max="7685" width="9.42578125" style="412" customWidth="1"/>
    <col min="7686" max="7686" width="9.85546875" style="412" customWidth="1"/>
    <col min="7687" max="7687" width="14.140625" style="412" customWidth="1"/>
    <col min="7688" max="7688" width="17.140625" style="412" customWidth="1"/>
    <col min="7689" max="7939" width="11.42578125" style="412"/>
    <col min="7940" max="7940" width="12" style="412" customWidth="1"/>
    <col min="7941" max="7941" width="9.42578125" style="412" customWidth="1"/>
    <col min="7942" max="7942" width="9.85546875" style="412" customWidth="1"/>
    <col min="7943" max="7943" width="14.140625" style="412" customWidth="1"/>
    <col min="7944" max="7944" width="17.140625" style="412" customWidth="1"/>
    <col min="7945" max="8195" width="11.42578125" style="412"/>
    <col min="8196" max="8196" width="12" style="412" customWidth="1"/>
    <col min="8197" max="8197" width="9.42578125" style="412" customWidth="1"/>
    <col min="8198" max="8198" width="9.85546875" style="412" customWidth="1"/>
    <col min="8199" max="8199" width="14.140625" style="412" customWidth="1"/>
    <col min="8200" max="8200" width="17.140625" style="412" customWidth="1"/>
    <col min="8201" max="8451" width="11.42578125" style="412"/>
    <col min="8452" max="8452" width="12" style="412" customWidth="1"/>
    <col min="8453" max="8453" width="9.42578125" style="412" customWidth="1"/>
    <col min="8454" max="8454" width="9.85546875" style="412" customWidth="1"/>
    <col min="8455" max="8455" width="14.140625" style="412" customWidth="1"/>
    <col min="8456" max="8456" width="17.140625" style="412" customWidth="1"/>
    <col min="8457" max="8707" width="11.42578125" style="412"/>
    <col min="8708" max="8708" width="12" style="412" customWidth="1"/>
    <col min="8709" max="8709" width="9.42578125" style="412" customWidth="1"/>
    <col min="8710" max="8710" width="9.85546875" style="412" customWidth="1"/>
    <col min="8711" max="8711" width="14.140625" style="412" customWidth="1"/>
    <col min="8712" max="8712" width="17.140625" style="412" customWidth="1"/>
    <col min="8713" max="8963" width="11.42578125" style="412"/>
    <col min="8964" max="8964" width="12" style="412" customWidth="1"/>
    <col min="8965" max="8965" width="9.42578125" style="412" customWidth="1"/>
    <col min="8966" max="8966" width="9.85546875" style="412" customWidth="1"/>
    <col min="8967" max="8967" width="14.140625" style="412" customWidth="1"/>
    <col min="8968" max="8968" width="17.140625" style="412" customWidth="1"/>
    <col min="8969" max="9219" width="11.42578125" style="412"/>
    <col min="9220" max="9220" width="12" style="412" customWidth="1"/>
    <col min="9221" max="9221" width="9.42578125" style="412" customWidth="1"/>
    <col min="9222" max="9222" width="9.85546875" style="412" customWidth="1"/>
    <col min="9223" max="9223" width="14.140625" style="412" customWidth="1"/>
    <col min="9224" max="9224" width="17.140625" style="412" customWidth="1"/>
    <col min="9225" max="9475" width="11.42578125" style="412"/>
    <col min="9476" max="9476" width="12" style="412" customWidth="1"/>
    <col min="9477" max="9477" width="9.42578125" style="412" customWidth="1"/>
    <col min="9478" max="9478" width="9.85546875" style="412" customWidth="1"/>
    <col min="9479" max="9479" width="14.140625" style="412" customWidth="1"/>
    <col min="9480" max="9480" width="17.140625" style="412" customWidth="1"/>
    <col min="9481" max="9731" width="11.42578125" style="412"/>
    <col min="9732" max="9732" width="12" style="412" customWidth="1"/>
    <col min="9733" max="9733" width="9.42578125" style="412" customWidth="1"/>
    <col min="9734" max="9734" width="9.85546875" style="412" customWidth="1"/>
    <col min="9735" max="9735" width="14.140625" style="412" customWidth="1"/>
    <col min="9736" max="9736" width="17.140625" style="412" customWidth="1"/>
    <col min="9737" max="9987" width="11.42578125" style="412"/>
    <col min="9988" max="9988" width="12" style="412" customWidth="1"/>
    <col min="9989" max="9989" width="9.42578125" style="412" customWidth="1"/>
    <col min="9990" max="9990" width="9.85546875" style="412" customWidth="1"/>
    <col min="9991" max="9991" width="14.140625" style="412" customWidth="1"/>
    <col min="9992" max="9992" width="17.140625" style="412" customWidth="1"/>
    <col min="9993" max="10243" width="11.42578125" style="412"/>
    <col min="10244" max="10244" width="12" style="412" customWidth="1"/>
    <col min="10245" max="10245" width="9.42578125" style="412" customWidth="1"/>
    <col min="10246" max="10246" width="9.85546875" style="412" customWidth="1"/>
    <col min="10247" max="10247" width="14.140625" style="412" customWidth="1"/>
    <col min="10248" max="10248" width="17.140625" style="412" customWidth="1"/>
    <col min="10249" max="10499" width="11.42578125" style="412"/>
    <col min="10500" max="10500" width="12" style="412" customWidth="1"/>
    <col min="10501" max="10501" width="9.42578125" style="412" customWidth="1"/>
    <col min="10502" max="10502" width="9.85546875" style="412" customWidth="1"/>
    <col min="10503" max="10503" width="14.140625" style="412" customWidth="1"/>
    <col min="10504" max="10504" width="17.140625" style="412" customWidth="1"/>
    <col min="10505" max="10755" width="11.42578125" style="412"/>
    <col min="10756" max="10756" width="12" style="412" customWidth="1"/>
    <col min="10757" max="10757" width="9.42578125" style="412" customWidth="1"/>
    <col min="10758" max="10758" width="9.85546875" style="412" customWidth="1"/>
    <col min="10759" max="10759" width="14.140625" style="412" customWidth="1"/>
    <col min="10760" max="10760" width="17.140625" style="412" customWidth="1"/>
    <col min="10761" max="11011" width="11.42578125" style="412"/>
    <col min="11012" max="11012" width="12" style="412" customWidth="1"/>
    <col min="11013" max="11013" width="9.42578125" style="412" customWidth="1"/>
    <col min="11014" max="11014" width="9.85546875" style="412" customWidth="1"/>
    <col min="11015" max="11015" width="14.140625" style="412" customWidth="1"/>
    <col min="11016" max="11016" width="17.140625" style="412" customWidth="1"/>
    <col min="11017" max="11267" width="11.42578125" style="412"/>
    <col min="11268" max="11268" width="12" style="412" customWidth="1"/>
    <col min="11269" max="11269" width="9.42578125" style="412" customWidth="1"/>
    <col min="11270" max="11270" width="9.85546875" style="412" customWidth="1"/>
    <col min="11271" max="11271" width="14.140625" style="412" customWidth="1"/>
    <col min="11272" max="11272" width="17.140625" style="412" customWidth="1"/>
    <col min="11273" max="11523" width="11.42578125" style="412"/>
    <col min="11524" max="11524" width="12" style="412" customWidth="1"/>
    <col min="11525" max="11525" width="9.42578125" style="412" customWidth="1"/>
    <col min="11526" max="11526" width="9.85546875" style="412" customWidth="1"/>
    <col min="11527" max="11527" width="14.140625" style="412" customWidth="1"/>
    <col min="11528" max="11528" width="17.140625" style="412" customWidth="1"/>
    <col min="11529" max="11779" width="11.42578125" style="412"/>
    <col min="11780" max="11780" width="12" style="412" customWidth="1"/>
    <col min="11781" max="11781" width="9.42578125" style="412" customWidth="1"/>
    <col min="11782" max="11782" width="9.85546875" style="412" customWidth="1"/>
    <col min="11783" max="11783" width="14.140625" style="412" customWidth="1"/>
    <col min="11784" max="11784" width="17.140625" style="412" customWidth="1"/>
    <col min="11785" max="12035" width="11.42578125" style="412"/>
    <col min="12036" max="12036" width="12" style="412" customWidth="1"/>
    <col min="12037" max="12037" width="9.42578125" style="412" customWidth="1"/>
    <col min="12038" max="12038" width="9.85546875" style="412" customWidth="1"/>
    <col min="12039" max="12039" width="14.140625" style="412" customWidth="1"/>
    <col min="12040" max="12040" width="17.140625" style="412" customWidth="1"/>
    <col min="12041" max="12291" width="11.42578125" style="412"/>
    <col min="12292" max="12292" width="12" style="412" customWidth="1"/>
    <col min="12293" max="12293" width="9.42578125" style="412" customWidth="1"/>
    <col min="12294" max="12294" width="9.85546875" style="412" customWidth="1"/>
    <col min="12295" max="12295" width="14.140625" style="412" customWidth="1"/>
    <col min="12296" max="12296" width="17.140625" style="412" customWidth="1"/>
    <col min="12297" max="12547" width="11.42578125" style="412"/>
    <col min="12548" max="12548" width="12" style="412" customWidth="1"/>
    <col min="12549" max="12549" width="9.42578125" style="412" customWidth="1"/>
    <col min="12550" max="12550" width="9.85546875" style="412" customWidth="1"/>
    <col min="12551" max="12551" width="14.140625" style="412" customWidth="1"/>
    <col min="12552" max="12552" width="17.140625" style="412" customWidth="1"/>
    <col min="12553" max="12803" width="11.42578125" style="412"/>
    <col min="12804" max="12804" width="12" style="412" customWidth="1"/>
    <col min="12805" max="12805" width="9.42578125" style="412" customWidth="1"/>
    <col min="12806" max="12806" width="9.85546875" style="412" customWidth="1"/>
    <col min="12807" max="12807" width="14.140625" style="412" customWidth="1"/>
    <col min="12808" max="12808" width="17.140625" style="412" customWidth="1"/>
    <col min="12809" max="13059" width="11.42578125" style="412"/>
    <col min="13060" max="13060" width="12" style="412" customWidth="1"/>
    <col min="13061" max="13061" width="9.42578125" style="412" customWidth="1"/>
    <col min="13062" max="13062" width="9.85546875" style="412" customWidth="1"/>
    <col min="13063" max="13063" width="14.140625" style="412" customWidth="1"/>
    <col min="13064" max="13064" width="17.140625" style="412" customWidth="1"/>
    <col min="13065" max="13315" width="11.42578125" style="412"/>
    <col min="13316" max="13316" width="12" style="412" customWidth="1"/>
    <col min="13317" max="13317" width="9.42578125" style="412" customWidth="1"/>
    <col min="13318" max="13318" width="9.85546875" style="412" customWidth="1"/>
    <col min="13319" max="13319" width="14.140625" style="412" customWidth="1"/>
    <col min="13320" max="13320" width="17.140625" style="412" customWidth="1"/>
    <col min="13321" max="13571" width="11.42578125" style="412"/>
    <col min="13572" max="13572" width="12" style="412" customWidth="1"/>
    <col min="13573" max="13573" width="9.42578125" style="412" customWidth="1"/>
    <col min="13574" max="13574" width="9.85546875" style="412" customWidth="1"/>
    <col min="13575" max="13575" width="14.140625" style="412" customWidth="1"/>
    <col min="13576" max="13576" width="17.140625" style="412" customWidth="1"/>
    <col min="13577" max="13827" width="11.42578125" style="412"/>
    <col min="13828" max="13828" width="12" style="412" customWidth="1"/>
    <col min="13829" max="13829" width="9.42578125" style="412" customWidth="1"/>
    <col min="13830" max="13830" width="9.85546875" style="412" customWidth="1"/>
    <col min="13831" max="13831" width="14.140625" style="412" customWidth="1"/>
    <col min="13832" max="13832" width="17.140625" style="412" customWidth="1"/>
    <col min="13833" max="14083" width="11.42578125" style="412"/>
    <col min="14084" max="14084" width="12" style="412" customWidth="1"/>
    <col min="14085" max="14085" width="9.42578125" style="412" customWidth="1"/>
    <col min="14086" max="14086" width="9.85546875" style="412" customWidth="1"/>
    <col min="14087" max="14087" width="14.140625" style="412" customWidth="1"/>
    <col min="14088" max="14088" width="17.140625" style="412" customWidth="1"/>
    <col min="14089" max="14339" width="11.42578125" style="412"/>
    <col min="14340" max="14340" width="12" style="412" customWidth="1"/>
    <col min="14341" max="14341" width="9.42578125" style="412" customWidth="1"/>
    <col min="14342" max="14342" width="9.85546875" style="412" customWidth="1"/>
    <col min="14343" max="14343" width="14.140625" style="412" customWidth="1"/>
    <col min="14344" max="14344" width="17.140625" style="412" customWidth="1"/>
    <col min="14345" max="14595" width="11.42578125" style="412"/>
    <col min="14596" max="14596" width="12" style="412" customWidth="1"/>
    <col min="14597" max="14597" width="9.42578125" style="412" customWidth="1"/>
    <col min="14598" max="14598" width="9.85546875" style="412" customWidth="1"/>
    <col min="14599" max="14599" width="14.140625" style="412" customWidth="1"/>
    <col min="14600" max="14600" width="17.140625" style="412" customWidth="1"/>
    <col min="14601" max="14851" width="11.42578125" style="412"/>
    <col min="14852" max="14852" width="12" style="412" customWidth="1"/>
    <col min="14853" max="14853" width="9.42578125" style="412" customWidth="1"/>
    <col min="14854" max="14854" width="9.85546875" style="412" customWidth="1"/>
    <col min="14855" max="14855" width="14.140625" style="412" customWidth="1"/>
    <col min="14856" max="14856" width="17.140625" style="412" customWidth="1"/>
    <col min="14857" max="15107" width="11.42578125" style="412"/>
    <col min="15108" max="15108" width="12" style="412" customWidth="1"/>
    <col min="15109" max="15109" width="9.42578125" style="412" customWidth="1"/>
    <col min="15110" max="15110" width="9.85546875" style="412" customWidth="1"/>
    <col min="15111" max="15111" width="14.140625" style="412" customWidth="1"/>
    <col min="15112" max="15112" width="17.140625" style="412" customWidth="1"/>
    <col min="15113" max="15363" width="11.42578125" style="412"/>
    <col min="15364" max="15364" width="12" style="412" customWidth="1"/>
    <col min="15365" max="15365" width="9.42578125" style="412" customWidth="1"/>
    <col min="15366" max="15366" width="9.85546875" style="412" customWidth="1"/>
    <col min="15367" max="15367" width="14.140625" style="412" customWidth="1"/>
    <col min="15368" max="15368" width="17.140625" style="412" customWidth="1"/>
    <col min="15369" max="15619" width="11.42578125" style="412"/>
    <col min="15620" max="15620" width="12" style="412" customWidth="1"/>
    <col min="15621" max="15621" width="9.42578125" style="412" customWidth="1"/>
    <col min="15622" max="15622" width="9.85546875" style="412" customWidth="1"/>
    <col min="15623" max="15623" width="14.140625" style="412" customWidth="1"/>
    <col min="15624" max="15624" width="17.140625" style="412" customWidth="1"/>
    <col min="15625" max="15875" width="11.42578125" style="412"/>
    <col min="15876" max="15876" width="12" style="412" customWidth="1"/>
    <col min="15877" max="15877" width="9.42578125" style="412" customWidth="1"/>
    <col min="15878" max="15878" width="9.85546875" style="412" customWidth="1"/>
    <col min="15879" max="15879" width="14.140625" style="412" customWidth="1"/>
    <col min="15880" max="15880" width="17.140625" style="412" customWidth="1"/>
    <col min="15881" max="16131" width="11.42578125" style="412"/>
    <col min="16132" max="16132" width="12" style="412" customWidth="1"/>
    <col min="16133" max="16133" width="9.42578125" style="412" customWidth="1"/>
    <col min="16134" max="16134" width="9.85546875" style="412" customWidth="1"/>
    <col min="16135" max="16135" width="14.140625" style="412" customWidth="1"/>
    <col min="16136" max="16136" width="17.140625" style="412" customWidth="1"/>
    <col min="16137" max="16384" width="11.42578125" style="412"/>
  </cols>
  <sheetData>
    <row r="1" spans="1:8" ht="15.75" customHeight="1" x14ac:dyDescent="0.2">
      <c r="A1" s="410" t="s">
        <v>1074</v>
      </c>
      <c r="B1" s="411"/>
      <c r="C1" s="411"/>
      <c r="D1" s="411"/>
      <c r="E1" s="411"/>
      <c r="F1" s="411"/>
      <c r="G1" s="411"/>
      <c r="H1" s="411"/>
    </row>
    <row r="2" spans="1:8" ht="14.25" x14ac:dyDescent="0.2">
      <c r="A2" s="413" t="s">
        <v>1075</v>
      </c>
      <c r="B2" s="431"/>
      <c r="C2" s="431"/>
      <c r="D2" s="431"/>
      <c r="E2" s="431"/>
      <c r="F2" s="431"/>
      <c r="G2" s="431"/>
      <c r="H2" s="431"/>
    </row>
    <row r="3" spans="1:8" ht="14.25" x14ac:dyDescent="0.2">
      <c r="A3" s="413" t="s">
        <v>1076</v>
      </c>
      <c r="B3" s="432"/>
      <c r="C3" s="432"/>
      <c r="D3" s="432"/>
      <c r="E3" s="432"/>
      <c r="F3" s="432"/>
      <c r="G3" s="432"/>
      <c r="H3" s="432"/>
    </row>
    <row r="4" spans="1:8" ht="12" customHeight="1" x14ac:dyDescent="0.2">
      <c r="A4" s="414" t="s">
        <v>1077</v>
      </c>
      <c r="B4" s="415"/>
      <c r="C4" s="415"/>
      <c r="D4" s="416"/>
      <c r="E4" s="417" t="s">
        <v>334</v>
      </c>
      <c r="F4" s="417" t="s">
        <v>5</v>
      </c>
      <c r="G4" s="417" t="s">
        <v>1078</v>
      </c>
      <c r="H4" s="417" t="s">
        <v>1079</v>
      </c>
    </row>
    <row r="5" spans="1:8" ht="14.25" x14ac:dyDescent="0.2">
      <c r="A5" s="418" t="s">
        <v>1080</v>
      </c>
      <c r="B5" s="419"/>
      <c r="C5" s="419"/>
      <c r="D5" s="420"/>
      <c r="E5" s="421" t="s">
        <v>1081</v>
      </c>
      <c r="F5" s="422">
        <f>Muros!G40+Revestimientos!D24+Cubiertas!G16+Pisos!F32+'Baño 1er Nivel'!N32+'Baño 1er Nivel'!D20+'Tanque Agua'!D21</f>
        <v>25.9575</v>
      </c>
      <c r="G5" s="423">
        <v>7500</v>
      </c>
      <c r="H5" s="423">
        <f>F5*G5</f>
        <v>194681.25</v>
      </c>
    </row>
    <row r="6" spans="1:8" ht="14.25" x14ac:dyDescent="0.2">
      <c r="A6" s="418" t="s">
        <v>1082</v>
      </c>
      <c r="B6" s="419"/>
      <c r="C6" s="419"/>
      <c r="D6" s="420"/>
      <c r="E6" s="421" t="s">
        <v>1083</v>
      </c>
      <c r="F6" s="422">
        <f>Estructural!L29+H.Ciclopeo!E14</f>
        <v>48</v>
      </c>
      <c r="G6" s="423">
        <v>7500</v>
      </c>
      <c r="H6" s="423">
        <f t="shared" ref="H6:H69" si="0">F6*G6</f>
        <v>360000</v>
      </c>
    </row>
    <row r="7" spans="1:8" ht="14.25" x14ac:dyDescent="0.2">
      <c r="A7" s="418" t="s">
        <v>1084</v>
      </c>
      <c r="B7" s="419"/>
      <c r="C7" s="419"/>
      <c r="D7" s="420"/>
      <c r="E7" s="421" t="s">
        <v>1085</v>
      </c>
      <c r="F7" s="424">
        <f>Enchapes!L13+Enchapes!L16+Enchapes!L18+Enchapes!L19+Enchapes!L20+Enchapes!L23</f>
        <v>6.3399999999999998E-2</v>
      </c>
      <c r="G7" s="423">
        <v>500</v>
      </c>
      <c r="H7" s="423">
        <f t="shared" si="0"/>
        <v>31.7</v>
      </c>
    </row>
    <row r="8" spans="1:8" ht="14.25" x14ac:dyDescent="0.2">
      <c r="A8" s="418" t="s">
        <v>1086</v>
      </c>
      <c r="B8" s="419"/>
      <c r="C8" s="419"/>
      <c r="D8" s="420"/>
      <c r="E8" s="421" t="s">
        <v>152</v>
      </c>
      <c r="F8" s="422">
        <f>Muros!I40+Revestimientos!F24+Cubiertas!I16+Pisos!H32+Estructural!D35+H.Ciclopeo!E15</f>
        <v>5.0162563999999996</v>
      </c>
      <c r="G8" s="423">
        <v>3000</v>
      </c>
      <c r="H8" s="423">
        <f t="shared" si="0"/>
        <v>15048.769199999999</v>
      </c>
    </row>
    <row r="9" spans="1:8" ht="14.25" x14ac:dyDescent="0.2">
      <c r="A9" s="418" t="s">
        <v>1087</v>
      </c>
      <c r="B9" s="419"/>
      <c r="C9" s="419"/>
      <c r="D9" s="420"/>
      <c r="E9" s="421" t="s">
        <v>152</v>
      </c>
      <c r="F9" s="422">
        <f>Estructural!L31+H.Ciclopeo!E16</f>
        <v>5</v>
      </c>
      <c r="G9" s="423">
        <v>3000</v>
      </c>
      <c r="H9" s="423">
        <f t="shared" si="0"/>
        <v>15000</v>
      </c>
    </row>
    <row r="10" spans="1:8" ht="14.25" x14ac:dyDescent="0.2">
      <c r="A10" s="418" t="s">
        <v>1088</v>
      </c>
      <c r="B10" s="419"/>
      <c r="C10" s="419"/>
      <c r="D10" s="420"/>
      <c r="E10" s="421" t="s">
        <v>152</v>
      </c>
      <c r="F10" s="422">
        <v>0</v>
      </c>
      <c r="G10" s="423">
        <v>3000</v>
      </c>
      <c r="H10" s="423">
        <f t="shared" si="0"/>
        <v>0</v>
      </c>
    </row>
    <row r="11" spans="1:8" ht="14.25" x14ac:dyDescent="0.2">
      <c r="A11" s="418" t="s">
        <v>1089</v>
      </c>
      <c r="B11" s="419"/>
      <c r="C11" s="419"/>
      <c r="D11" s="420"/>
      <c r="E11" s="421" t="s">
        <v>152</v>
      </c>
      <c r="F11" s="422">
        <f>H.Ciclopeo!E13</f>
        <v>0</v>
      </c>
      <c r="G11" s="423">
        <v>3000</v>
      </c>
      <c r="H11" s="423">
        <f t="shared" si="0"/>
        <v>0</v>
      </c>
    </row>
    <row r="12" spans="1:8" ht="14.25" x14ac:dyDescent="0.2">
      <c r="A12" s="418" t="s">
        <v>53</v>
      </c>
      <c r="B12" s="419"/>
      <c r="C12" s="419"/>
      <c r="D12" s="420"/>
      <c r="E12" s="421" t="s">
        <v>152</v>
      </c>
      <c r="F12" s="429">
        <v>0.91800000000000004</v>
      </c>
      <c r="G12" s="423">
        <v>1500</v>
      </c>
      <c r="H12" s="423">
        <f t="shared" si="0"/>
        <v>1377</v>
      </c>
    </row>
    <row r="13" spans="1:8" ht="14.25" x14ac:dyDescent="0.2">
      <c r="A13" s="418" t="s">
        <v>1090</v>
      </c>
      <c r="B13" s="419"/>
      <c r="C13" s="419"/>
      <c r="D13" s="420"/>
      <c r="E13" s="421" t="s">
        <v>152</v>
      </c>
      <c r="F13" s="429">
        <v>0.372</v>
      </c>
      <c r="G13" s="423">
        <v>4200</v>
      </c>
      <c r="H13" s="423">
        <f t="shared" si="0"/>
        <v>1562.4</v>
      </c>
    </row>
    <row r="14" spans="1:8" ht="14.25" x14ac:dyDescent="0.2">
      <c r="A14" s="418" t="s">
        <v>1091</v>
      </c>
      <c r="B14" s="419"/>
      <c r="C14" s="419"/>
      <c r="D14" s="420"/>
      <c r="E14" s="421" t="s">
        <v>237</v>
      </c>
      <c r="F14" s="429">
        <v>0</v>
      </c>
      <c r="G14" s="423">
        <v>100</v>
      </c>
      <c r="H14" s="423">
        <f t="shared" si="0"/>
        <v>0</v>
      </c>
    </row>
    <row r="15" spans="1:8" ht="14.25" x14ac:dyDescent="0.2">
      <c r="A15" s="418" t="s">
        <v>1092</v>
      </c>
      <c r="B15" s="419"/>
      <c r="C15" s="419"/>
      <c r="D15" s="420"/>
      <c r="E15" s="421" t="s">
        <v>237</v>
      </c>
      <c r="F15" s="429">
        <v>0</v>
      </c>
      <c r="G15" s="423">
        <v>385</v>
      </c>
      <c r="H15" s="423">
        <f t="shared" si="0"/>
        <v>0</v>
      </c>
    </row>
    <row r="16" spans="1:8" ht="14.25" x14ac:dyDescent="0.2">
      <c r="A16" s="418" t="s">
        <v>1093</v>
      </c>
      <c r="B16" s="419"/>
      <c r="C16" s="419"/>
      <c r="D16" s="420"/>
      <c r="E16" s="421" t="s">
        <v>237</v>
      </c>
      <c r="F16" s="429">
        <v>0</v>
      </c>
      <c r="G16" s="423">
        <v>400</v>
      </c>
      <c r="H16" s="423">
        <f t="shared" si="0"/>
        <v>0</v>
      </c>
    </row>
    <row r="17" spans="1:8" ht="14.25" x14ac:dyDescent="0.2">
      <c r="A17" s="418" t="s">
        <v>1094</v>
      </c>
      <c r="B17" s="419"/>
      <c r="C17" s="419"/>
      <c r="D17" s="420"/>
      <c r="E17" s="421" t="s">
        <v>152</v>
      </c>
      <c r="F17" s="429">
        <v>0</v>
      </c>
      <c r="G17" s="423"/>
      <c r="H17" s="423">
        <f t="shared" si="0"/>
        <v>0</v>
      </c>
    </row>
    <row r="18" spans="1:8" ht="14.25" x14ac:dyDescent="0.2">
      <c r="A18" s="418" t="s">
        <v>1095</v>
      </c>
      <c r="B18" s="419"/>
      <c r="C18" s="419"/>
      <c r="D18" s="420"/>
      <c r="E18" s="421" t="s">
        <v>237</v>
      </c>
      <c r="F18" s="429">
        <v>0</v>
      </c>
      <c r="G18" s="423"/>
      <c r="H18" s="423">
        <f t="shared" si="0"/>
        <v>0</v>
      </c>
    </row>
    <row r="19" spans="1:8" ht="14.25" x14ac:dyDescent="0.2">
      <c r="A19" s="418" t="s">
        <v>1095</v>
      </c>
      <c r="B19" s="419"/>
      <c r="C19" s="419"/>
      <c r="D19" s="420"/>
      <c r="E19" s="421" t="s">
        <v>8</v>
      </c>
      <c r="F19" s="429">
        <v>0</v>
      </c>
      <c r="G19" s="423">
        <v>200</v>
      </c>
      <c r="H19" s="423">
        <f t="shared" si="0"/>
        <v>0</v>
      </c>
    </row>
    <row r="20" spans="1:8" ht="14.25" x14ac:dyDescent="0.2">
      <c r="A20" s="418" t="s">
        <v>1096</v>
      </c>
      <c r="B20" s="419"/>
      <c r="C20" s="419"/>
      <c r="D20" s="420"/>
      <c r="E20" s="421" t="s">
        <v>237</v>
      </c>
      <c r="F20" s="429">
        <v>0</v>
      </c>
      <c r="G20" s="423"/>
      <c r="H20" s="423">
        <f t="shared" si="0"/>
        <v>0</v>
      </c>
    </row>
    <row r="21" spans="1:8" ht="14.25" x14ac:dyDescent="0.2">
      <c r="A21" s="418" t="s">
        <v>1096</v>
      </c>
      <c r="B21" s="419"/>
      <c r="C21" s="419"/>
      <c r="D21" s="420"/>
      <c r="E21" s="421" t="s">
        <v>8</v>
      </c>
      <c r="F21" s="429">
        <v>0</v>
      </c>
      <c r="G21" s="423">
        <v>260</v>
      </c>
      <c r="H21" s="423">
        <f t="shared" si="0"/>
        <v>0</v>
      </c>
    </row>
    <row r="22" spans="1:8" ht="14.25" x14ac:dyDescent="0.2">
      <c r="A22" s="418" t="s">
        <v>1097</v>
      </c>
      <c r="B22" s="419"/>
      <c r="C22" s="419"/>
      <c r="D22" s="420"/>
      <c r="E22" s="421" t="s">
        <v>237</v>
      </c>
      <c r="F22" s="429">
        <v>0</v>
      </c>
      <c r="G22" s="423"/>
      <c r="H22" s="423">
        <f t="shared" si="0"/>
        <v>0</v>
      </c>
    </row>
    <row r="23" spans="1:8" ht="14.25" x14ac:dyDescent="0.2">
      <c r="A23" s="418" t="s">
        <v>1097</v>
      </c>
      <c r="B23" s="419"/>
      <c r="C23" s="419"/>
      <c r="D23" s="420"/>
      <c r="E23" s="421" t="s">
        <v>8</v>
      </c>
      <c r="F23" s="429">
        <v>0</v>
      </c>
      <c r="G23" s="423">
        <v>280</v>
      </c>
      <c r="H23" s="423">
        <f t="shared" si="0"/>
        <v>0</v>
      </c>
    </row>
    <row r="24" spans="1:8" ht="14.25" x14ac:dyDescent="0.2">
      <c r="A24" s="418" t="s">
        <v>1098</v>
      </c>
      <c r="B24" s="419"/>
      <c r="C24" s="419"/>
      <c r="D24" s="420"/>
      <c r="E24" s="421" t="s">
        <v>237</v>
      </c>
      <c r="F24" s="429">
        <v>0</v>
      </c>
      <c r="G24" s="423">
        <v>300</v>
      </c>
      <c r="H24" s="423">
        <f t="shared" si="0"/>
        <v>0</v>
      </c>
    </row>
    <row r="25" spans="1:8" ht="14.25" x14ac:dyDescent="0.2">
      <c r="A25" s="418" t="s">
        <v>1099</v>
      </c>
      <c r="B25" s="419"/>
      <c r="C25" s="419"/>
      <c r="D25" s="420"/>
      <c r="E25" s="421" t="s">
        <v>6</v>
      </c>
      <c r="F25" s="429">
        <v>0</v>
      </c>
      <c r="G25" s="423">
        <v>120</v>
      </c>
      <c r="H25" s="423">
        <f t="shared" si="0"/>
        <v>0</v>
      </c>
    </row>
    <row r="26" spans="1:8" ht="14.25" x14ac:dyDescent="0.2">
      <c r="A26" s="418" t="s">
        <v>1100</v>
      </c>
      <c r="B26" s="419"/>
      <c r="C26" s="419"/>
      <c r="D26" s="420"/>
      <c r="E26" s="421" t="s">
        <v>6</v>
      </c>
      <c r="F26" s="429">
        <v>0</v>
      </c>
      <c r="G26" s="423">
        <v>100</v>
      </c>
      <c r="H26" s="423">
        <f t="shared" si="0"/>
        <v>0</v>
      </c>
    </row>
    <row r="27" spans="1:8" ht="14.25" x14ac:dyDescent="0.2">
      <c r="A27" s="418" t="s">
        <v>1101</v>
      </c>
      <c r="B27" s="419"/>
      <c r="C27" s="419"/>
      <c r="D27" s="420"/>
      <c r="E27" s="421" t="s">
        <v>6</v>
      </c>
      <c r="F27" s="429">
        <v>0</v>
      </c>
      <c r="G27" s="423">
        <v>100</v>
      </c>
      <c r="H27" s="423">
        <f t="shared" si="0"/>
        <v>0</v>
      </c>
    </row>
    <row r="28" spans="1:8" ht="14.25" x14ac:dyDescent="0.2">
      <c r="A28" s="418" t="s">
        <v>1102</v>
      </c>
      <c r="B28" s="419"/>
      <c r="C28" s="419"/>
      <c r="D28" s="420"/>
      <c r="E28" s="421" t="s">
        <v>6</v>
      </c>
      <c r="F28" s="429">
        <v>0</v>
      </c>
      <c r="G28" s="423">
        <v>30</v>
      </c>
      <c r="H28" s="423">
        <f t="shared" si="0"/>
        <v>0</v>
      </c>
    </row>
    <row r="29" spans="1:8" ht="14.25" x14ac:dyDescent="0.2">
      <c r="A29" s="418" t="s">
        <v>1103</v>
      </c>
      <c r="B29" s="419"/>
      <c r="C29" s="419"/>
      <c r="D29" s="420"/>
      <c r="E29" s="421" t="s">
        <v>152</v>
      </c>
      <c r="F29" s="429">
        <v>0</v>
      </c>
      <c r="G29" s="423">
        <v>2000</v>
      </c>
      <c r="H29" s="423">
        <f t="shared" si="0"/>
        <v>0</v>
      </c>
    </row>
    <row r="30" spans="1:8" ht="14.25" x14ac:dyDescent="0.2">
      <c r="A30" s="418" t="s">
        <v>1104</v>
      </c>
      <c r="B30" s="419"/>
      <c r="C30" s="419" t="s">
        <v>1105</v>
      </c>
      <c r="D30" s="420"/>
      <c r="E30" s="421" t="s">
        <v>6</v>
      </c>
      <c r="F30" s="429">
        <v>0</v>
      </c>
      <c r="G30" s="423">
        <v>250</v>
      </c>
      <c r="H30" s="423">
        <f t="shared" si="0"/>
        <v>0</v>
      </c>
    </row>
    <row r="31" spans="1:8" ht="14.25" x14ac:dyDescent="0.2">
      <c r="A31" s="418"/>
      <c r="B31" s="419"/>
      <c r="C31" s="419" t="s">
        <v>1106</v>
      </c>
      <c r="D31" s="420"/>
      <c r="E31" s="421" t="s">
        <v>6</v>
      </c>
      <c r="F31" s="429">
        <v>0</v>
      </c>
      <c r="G31" s="423">
        <v>250</v>
      </c>
      <c r="H31" s="423">
        <f t="shared" si="0"/>
        <v>0</v>
      </c>
    </row>
    <row r="32" spans="1:8" ht="14.25" x14ac:dyDescent="0.2">
      <c r="A32" s="418"/>
      <c r="B32" s="419"/>
      <c r="C32" s="419" t="s">
        <v>1107</v>
      </c>
      <c r="D32" s="420"/>
      <c r="E32" s="421" t="s">
        <v>6</v>
      </c>
      <c r="F32" s="429">
        <v>0</v>
      </c>
      <c r="G32" s="423">
        <v>250</v>
      </c>
      <c r="H32" s="423">
        <f t="shared" si="0"/>
        <v>0</v>
      </c>
    </row>
    <row r="33" spans="1:8" ht="14.25" x14ac:dyDescent="0.2">
      <c r="A33" s="418" t="s">
        <v>1108</v>
      </c>
      <c r="B33" s="419"/>
      <c r="C33" s="419" t="s">
        <v>1109</v>
      </c>
      <c r="D33" s="420"/>
      <c r="E33" s="421" t="s">
        <v>6</v>
      </c>
      <c r="F33" s="429">
        <v>0</v>
      </c>
      <c r="G33" s="423"/>
      <c r="H33" s="423">
        <f t="shared" si="0"/>
        <v>0</v>
      </c>
    </row>
    <row r="34" spans="1:8" ht="14.25" x14ac:dyDescent="0.2">
      <c r="A34" s="418"/>
      <c r="B34" s="419"/>
      <c r="C34" s="419" t="s">
        <v>1110</v>
      </c>
      <c r="D34" s="420"/>
      <c r="E34" s="421" t="s">
        <v>6</v>
      </c>
      <c r="F34" s="429">
        <v>0</v>
      </c>
      <c r="G34" s="423"/>
      <c r="H34" s="423">
        <f t="shared" si="0"/>
        <v>0</v>
      </c>
    </row>
    <row r="35" spans="1:8" ht="14.25" x14ac:dyDescent="0.2">
      <c r="A35" s="418"/>
      <c r="B35" s="419"/>
      <c r="C35" s="419" t="s">
        <v>1111</v>
      </c>
      <c r="D35" s="420"/>
      <c r="E35" s="421" t="s">
        <v>6</v>
      </c>
      <c r="F35" s="429">
        <v>0</v>
      </c>
      <c r="G35" s="423"/>
      <c r="H35" s="423">
        <f t="shared" si="0"/>
        <v>0</v>
      </c>
    </row>
    <row r="36" spans="1:8" ht="14.25" x14ac:dyDescent="0.2">
      <c r="A36" s="418"/>
      <c r="B36" s="419"/>
      <c r="C36" s="419" t="s">
        <v>1112</v>
      </c>
      <c r="D36" s="420"/>
      <c r="E36" s="421" t="s">
        <v>6</v>
      </c>
      <c r="F36" s="429">
        <v>0</v>
      </c>
      <c r="G36" s="423"/>
      <c r="H36" s="423">
        <f t="shared" si="0"/>
        <v>0</v>
      </c>
    </row>
    <row r="37" spans="1:8" ht="14.25" x14ac:dyDescent="0.2">
      <c r="A37" s="418"/>
      <c r="B37" s="419"/>
      <c r="C37" s="419" t="s">
        <v>1113</v>
      </c>
      <c r="D37" s="420"/>
      <c r="E37" s="421" t="s">
        <v>6</v>
      </c>
      <c r="F37" s="429">
        <v>0</v>
      </c>
      <c r="G37" s="423"/>
      <c r="H37" s="423">
        <f t="shared" si="0"/>
        <v>0</v>
      </c>
    </row>
    <row r="38" spans="1:8" ht="14.25" x14ac:dyDescent="0.2">
      <c r="A38" s="418" t="s">
        <v>1114</v>
      </c>
      <c r="B38" s="419"/>
      <c r="C38" s="419"/>
      <c r="D38" s="420"/>
      <c r="E38" s="421" t="s">
        <v>6</v>
      </c>
      <c r="F38" s="429">
        <v>0</v>
      </c>
      <c r="G38" s="423">
        <v>1350</v>
      </c>
      <c r="H38" s="423">
        <f t="shared" si="0"/>
        <v>0</v>
      </c>
    </row>
    <row r="39" spans="1:8" ht="14.25" x14ac:dyDescent="0.2">
      <c r="A39" s="418"/>
      <c r="B39" s="419"/>
      <c r="C39" s="419" t="s">
        <v>1115</v>
      </c>
      <c r="D39" s="420"/>
      <c r="E39" s="421" t="s">
        <v>6</v>
      </c>
      <c r="F39" s="429">
        <v>0</v>
      </c>
      <c r="G39" s="423">
        <v>1525</v>
      </c>
      <c r="H39" s="423">
        <f t="shared" si="0"/>
        <v>0</v>
      </c>
    </row>
    <row r="40" spans="1:8" ht="14.25" x14ac:dyDescent="0.2">
      <c r="A40" s="418" t="s">
        <v>1116</v>
      </c>
      <c r="B40" s="419"/>
      <c r="C40" s="419"/>
      <c r="D40" s="420"/>
      <c r="E40" s="421" t="s">
        <v>6</v>
      </c>
      <c r="F40" s="429">
        <v>0</v>
      </c>
      <c r="G40" s="423"/>
      <c r="H40" s="423">
        <f t="shared" si="0"/>
        <v>0</v>
      </c>
    </row>
    <row r="41" spans="1:8" ht="14.25" x14ac:dyDescent="0.2">
      <c r="A41" s="418" t="s">
        <v>1116</v>
      </c>
      <c r="B41" s="419"/>
      <c r="C41" s="419"/>
      <c r="D41" s="420"/>
      <c r="E41" s="421" t="s">
        <v>1117</v>
      </c>
      <c r="F41" s="429">
        <v>0</v>
      </c>
      <c r="G41" s="423">
        <v>12000</v>
      </c>
      <c r="H41" s="423">
        <f t="shared" si="0"/>
        <v>0</v>
      </c>
    </row>
    <row r="42" spans="1:8" ht="14.25" x14ac:dyDescent="0.2">
      <c r="A42" s="418" t="s">
        <v>1118</v>
      </c>
      <c r="B42" s="419"/>
      <c r="C42" s="419"/>
      <c r="D42" s="420"/>
      <c r="E42" s="421" t="s">
        <v>6</v>
      </c>
      <c r="F42" s="429">
        <v>0</v>
      </c>
      <c r="G42" s="423"/>
      <c r="H42" s="423">
        <f t="shared" si="0"/>
        <v>0</v>
      </c>
    </row>
    <row r="43" spans="1:8" ht="14.25" x14ac:dyDescent="0.2">
      <c r="A43" s="418" t="s">
        <v>1119</v>
      </c>
      <c r="B43" s="419" t="s">
        <v>1120</v>
      </c>
      <c r="C43" s="419"/>
      <c r="D43" s="420"/>
      <c r="E43" s="421" t="s">
        <v>6</v>
      </c>
      <c r="F43" s="429">
        <v>0</v>
      </c>
      <c r="G43" s="423"/>
      <c r="H43" s="423">
        <f t="shared" si="0"/>
        <v>0</v>
      </c>
    </row>
    <row r="44" spans="1:8" ht="14.25" x14ac:dyDescent="0.2">
      <c r="A44" s="418" t="s">
        <v>1121</v>
      </c>
      <c r="B44" s="419"/>
      <c r="C44" s="419"/>
      <c r="D44" s="420"/>
      <c r="E44" s="421" t="s">
        <v>152</v>
      </c>
      <c r="F44" s="429">
        <v>0</v>
      </c>
      <c r="G44" s="423"/>
      <c r="H44" s="423">
        <f t="shared" si="0"/>
        <v>0</v>
      </c>
    </row>
    <row r="45" spans="1:8" ht="14.25" x14ac:dyDescent="0.2">
      <c r="A45" s="418" t="s">
        <v>1122</v>
      </c>
      <c r="B45" s="419"/>
      <c r="C45" s="419"/>
      <c r="D45" s="420"/>
      <c r="E45" s="421" t="s">
        <v>6</v>
      </c>
      <c r="F45" s="429">
        <v>0</v>
      </c>
      <c r="G45" s="423"/>
      <c r="H45" s="423">
        <f t="shared" si="0"/>
        <v>0</v>
      </c>
    </row>
    <row r="46" spans="1:8" ht="14.25" x14ac:dyDescent="0.2">
      <c r="A46" s="418" t="s">
        <v>1123</v>
      </c>
      <c r="B46" s="419"/>
      <c r="C46" s="419"/>
      <c r="D46" s="420"/>
      <c r="E46" s="421" t="s">
        <v>6</v>
      </c>
      <c r="F46" s="429">
        <v>0</v>
      </c>
      <c r="G46" s="423"/>
      <c r="H46" s="423">
        <f t="shared" si="0"/>
        <v>0</v>
      </c>
    </row>
    <row r="47" spans="1:8" ht="14.25" x14ac:dyDescent="0.2">
      <c r="A47" s="418" t="s">
        <v>1124</v>
      </c>
      <c r="B47" s="419"/>
      <c r="C47" s="419"/>
      <c r="D47" s="420"/>
      <c r="E47" s="421" t="s">
        <v>6</v>
      </c>
      <c r="F47" s="429">
        <v>0</v>
      </c>
      <c r="G47" s="423"/>
      <c r="H47" s="423">
        <f t="shared" si="0"/>
        <v>0</v>
      </c>
    </row>
    <row r="48" spans="1:8" ht="14.25" x14ac:dyDescent="0.2">
      <c r="A48" s="418" t="s">
        <v>1125</v>
      </c>
      <c r="B48" s="419"/>
      <c r="C48" s="419"/>
      <c r="D48" s="420"/>
      <c r="E48" s="421" t="s">
        <v>6</v>
      </c>
      <c r="F48" s="429">
        <v>0</v>
      </c>
      <c r="G48" s="423">
        <v>1200</v>
      </c>
      <c r="H48" s="423">
        <f t="shared" si="0"/>
        <v>0</v>
      </c>
    </row>
    <row r="49" spans="1:8" ht="14.25" x14ac:dyDescent="0.2">
      <c r="A49" s="418" t="s">
        <v>1198</v>
      </c>
      <c r="B49" s="419"/>
      <c r="C49" s="419"/>
      <c r="D49" s="420"/>
      <c r="E49" s="421" t="s">
        <v>6</v>
      </c>
      <c r="F49" s="429">
        <f>Cubiertas!E14</f>
        <v>48.839999999999996</v>
      </c>
      <c r="G49" s="423">
        <v>5100</v>
      </c>
      <c r="H49" s="423">
        <f t="shared" si="0"/>
        <v>249083.99999999997</v>
      </c>
    </row>
    <row r="50" spans="1:8" ht="14.25" x14ac:dyDescent="0.2">
      <c r="A50" s="418" t="s">
        <v>1126</v>
      </c>
      <c r="B50" s="419"/>
      <c r="C50" s="419"/>
      <c r="D50" s="420"/>
      <c r="E50" s="421" t="s">
        <v>6</v>
      </c>
      <c r="F50" s="429">
        <v>0</v>
      </c>
      <c r="G50" s="423">
        <v>7000</v>
      </c>
      <c r="H50" s="423">
        <f t="shared" si="0"/>
        <v>0</v>
      </c>
    </row>
    <row r="51" spans="1:8" ht="14.25" x14ac:dyDescent="0.2">
      <c r="A51" s="418" t="s">
        <v>1127</v>
      </c>
      <c r="B51" s="419"/>
      <c r="C51" s="419" t="s">
        <v>1128</v>
      </c>
      <c r="D51" s="420"/>
      <c r="E51" s="425" t="s">
        <v>6</v>
      </c>
      <c r="F51" s="429">
        <v>0</v>
      </c>
      <c r="G51" s="423">
        <v>120</v>
      </c>
      <c r="H51" s="423">
        <f t="shared" si="0"/>
        <v>0</v>
      </c>
    </row>
    <row r="52" spans="1:8" ht="14.25" x14ac:dyDescent="0.2">
      <c r="A52" s="418" t="s">
        <v>1129</v>
      </c>
      <c r="B52" s="419"/>
      <c r="C52" s="419" t="s">
        <v>1130</v>
      </c>
      <c r="D52" s="420"/>
      <c r="E52" s="425" t="s">
        <v>6</v>
      </c>
      <c r="F52" s="429">
        <v>0</v>
      </c>
      <c r="G52" s="423">
        <v>120</v>
      </c>
      <c r="H52" s="423">
        <f t="shared" si="0"/>
        <v>0</v>
      </c>
    </row>
    <row r="53" spans="1:8" ht="14.25" x14ac:dyDescent="0.2">
      <c r="A53" s="418"/>
      <c r="B53" s="419"/>
      <c r="C53" s="419" t="s">
        <v>1131</v>
      </c>
      <c r="D53" s="420"/>
      <c r="E53" s="425" t="s">
        <v>6</v>
      </c>
      <c r="F53" s="429">
        <v>0</v>
      </c>
      <c r="G53" s="423">
        <v>120</v>
      </c>
      <c r="H53" s="423">
        <f t="shared" si="0"/>
        <v>0</v>
      </c>
    </row>
    <row r="54" spans="1:8" ht="14.25" x14ac:dyDescent="0.2">
      <c r="A54" s="418" t="s">
        <v>1132</v>
      </c>
      <c r="B54" s="419"/>
      <c r="C54" s="419"/>
      <c r="D54" s="420"/>
      <c r="E54" s="421" t="s">
        <v>6</v>
      </c>
      <c r="F54" s="429">
        <v>0</v>
      </c>
      <c r="G54" s="423"/>
      <c r="H54" s="423">
        <f t="shared" si="0"/>
        <v>0</v>
      </c>
    </row>
    <row r="55" spans="1:8" ht="14.25" x14ac:dyDescent="0.2">
      <c r="A55" s="418" t="s">
        <v>1133</v>
      </c>
      <c r="B55" s="419"/>
      <c r="C55" s="419"/>
      <c r="D55" s="420"/>
      <c r="E55" s="421" t="s">
        <v>6</v>
      </c>
      <c r="F55" s="429">
        <v>0</v>
      </c>
      <c r="G55" s="423">
        <v>100</v>
      </c>
      <c r="H55" s="423">
        <f t="shared" si="0"/>
        <v>0</v>
      </c>
    </row>
    <row r="56" spans="1:8" ht="14.25" x14ac:dyDescent="0.2">
      <c r="A56" s="418" t="s">
        <v>1133</v>
      </c>
      <c r="B56" s="419"/>
      <c r="C56" s="419"/>
      <c r="D56" s="420"/>
      <c r="E56" s="421" t="s">
        <v>6</v>
      </c>
      <c r="F56" s="429">
        <v>0</v>
      </c>
      <c r="G56" s="423">
        <v>120</v>
      </c>
      <c r="H56" s="423">
        <f t="shared" si="0"/>
        <v>0</v>
      </c>
    </row>
    <row r="57" spans="1:8" ht="14.25" x14ac:dyDescent="0.2">
      <c r="A57" s="418" t="s">
        <v>1134</v>
      </c>
      <c r="B57" s="419"/>
      <c r="C57" s="419"/>
      <c r="D57" s="420"/>
      <c r="E57" s="421" t="s">
        <v>6</v>
      </c>
      <c r="F57" s="429">
        <v>0</v>
      </c>
      <c r="G57" s="423">
        <v>130</v>
      </c>
      <c r="H57" s="423">
        <f t="shared" si="0"/>
        <v>0</v>
      </c>
    </row>
    <row r="58" spans="1:8" ht="14.25" x14ac:dyDescent="0.2">
      <c r="A58" s="418" t="s">
        <v>1135</v>
      </c>
      <c r="B58" s="419"/>
      <c r="C58" s="419"/>
      <c r="D58" s="420"/>
      <c r="E58" s="421" t="s">
        <v>6</v>
      </c>
      <c r="F58" s="429">
        <v>0</v>
      </c>
      <c r="G58" s="423">
        <v>150</v>
      </c>
      <c r="H58" s="423">
        <f t="shared" si="0"/>
        <v>0</v>
      </c>
    </row>
    <row r="59" spans="1:8" ht="14.25" x14ac:dyDescent="0.2">
      <c r="A59" s="418" t="s">
        <v>1136</v>
      </c>
      <c r="B59" s="419"/>
      <c r="C59" s="419"/>
      <c r="D59" s="420"/>
      <c r="E59" s="421" t="s">
        <v>6</v>
      </c>
      <c r="F59" s="429">
        <v>0</v>
      </c>
      <c r="G59" s="423">
        <v>50</v>
      </c>
      <c r="H59" s="423">
        <f t="shared" si="0"/>
        <v>0</v>
      </c>
    </row>
    <row r="60" spans="1:8" ht="14.25" x14ac:dyDescent="0.2">
      <c r="A60" s="418" t="s">
        <v>1137</v>
      </c>
      <c r="B60" s="419"/>
      <c r="C60" s="419"/>
      <c r="D60" s="420"/>
      <c r="E60" s="421" t="s">
        <v>6</v>
      </c>
      <c r="F60" s="429">
        <v>0</v>
      </c>
      <c r="G60" s="423">
        <v>50</v>
      </c>
      <c r="H60" s="423">
        <f t="shared" si="0"/>
        <v>0</v>
      </c>
    </row>
    <row r="61" spans="1:8" ht="14.25" x14ac:dyDescent="0.2">
      <c r="A61" s="418" t="s">
        <v>1138</v>
      </c>
      <c r="B61" s="419"/>
      <c r="C61" s="419"/>
      <c r="D61" s="420"/>
      <c r="E61" s="421" t="s">
        <v>1139</v>
      </c>
      <c r="F61" s="429">
        <v>0</v>
      </c>
      <c r="G61" s="423">
        <v>3700</v>
      </c>
      <c r="H61" s="423">
        <f t="shared" si="0"/>
        <v>0</v>
      </c>
    </row>
    <row r="62" spans="1:8" ht="14.25" x14ac:dyDescent="0.2">
      <c r="A62" s="418" t="s">
        <v>1140</v>
      </c>
      <c r="B62" s="419"/>
      <c r="C62" s="419"/>
      <c r="D62" s="420"/>
      <c r="E62" s="421" t="s">
        <v>364</v>
      </c>
      <c r="F62" s="429">
        <v>0</v>
      </c>
      <c r="G62" s="423"/>
      <c r="H62" s="423">
        <f t="shared" si="0"/>
        <v>0</v>
      </c>
    </row>
    <row r="63" spans="1:8" ht="14.25" x14ac:dyDescent="0.2">
      <c r="A63" s="418" t="s">
        <v>1141</v>
      </c>
      <c r="B63" s="419"/>
      <c r="C63" s="419"/>
      <c r="D63" s="420"/>
      <c r="E63" s="421" t="s">
        <v>1142</v>
      </c>
      <c r="F63" s="429">
        <v>0</v>
      </c>
      <c r="G63" s="423"/>
      <c r="H63" s="423">
        <f t="shared" si="0"/>
        <v>0</v>
      </c>
    </row>
    <row r="64" spans="1:8" ht="14.25" x14ac:dyDescent="0.2">
      <c r="A64" s="418" t="s">
        <v>1143</v>
      </c>
      <c r="B64" s="419"/>
      <c r="C64" s="419"/>
      <c r="D64" s="420"/>
      <c r="E64" s="421" t="s">
        <v>1139</v>
      </c>
      <c r="F64" s="429">
        <v>0</v>
      </c>
      <c r="G64" s="423">
        <v>6900</v>
      </c>
      <c r="H64" s="423">
        <f t="shared" si="0"/>
        <v>0</v>
      </c>
    </row>
    <row r="65" spans="1:8" ht="14.25" x14ac:dyDescent="0.2">
      <c r="A65" s="418" t="s">
        <v>1144</v>
      </c>
      <c r="B65" s="419"/>
      <c r="C65" s="419" t="s">
        <v>1145</v>
      </c>
      <c r="D65" s="420"/>
      <c r="E65" s="421" t="s">
        <v>1139</v>
      </c>
      <c r="F65" s="429">
        <v>0</v>
      </c>
      <c r="G65" s="423">
        <v>8000</v>
      </c>
      <c r="H65" s="423">
        <f t="shared" si="0"/>
        <v>0</v>
      </c>
    </row>
    <row r="66" spans="1:8" ht="14.25" x14ac:dyDescent="0.2">
      <c r="A66" s="418" t="s">
        <v>1144</v>
      </c>
      <c r="B66" s="419"/>
      <c r="C66" s="419" t="s">
        <v>1146</v>
      </c>
      <c r="D66" s="420"/>
      <c r="E66" s="421" t="s">
        <v>1139</v>
      </c>
      <c r="F66" s="429">
        <v>0</v>
      </c>
      <c r="G66" s="423">
        <v>8000</v>
      </c>
      <c r="H66" s="423">
        <f t="shared" si="0"/>
        <v>0</v>
      </c>
    </row>
    <row r="67" spans="1:8" ht="14.25" x14ac:dyDescent="0.2">
      <c r="A67" s="418" t="s">
        <v>1144</v>
      </c>
      <c r="B67" s="419"/>
      <c r="C67" s="419" t="s">
        <v>1147</v>
      </c>
      <c r="D67" s="420"/>
      <c r="E67" s="421" t="s">
        <v>1139</v>
      </c>
      <c r="F67" s="429">
        <v>0</v>
      </c>
      <c r="G67" s="423">
        <v>8000</v>
      </c>
      <c r="H67" s="423">
        <f t="shared" si="0"/>
        <v>0</v>
      </c>
    </row>
    <row r="68" spans="1:8" ht="14.25" x14ac:dyDescent="0.2">
      <c r="A68" s="418" t="s">
        <v>1148</v>
      </c>
      <c r="B68" s="419"/>
      <c r="C68" s="419"/>
      <c r="D68" s="420"/>
      <c r="E68" s="421" t="s">
        <v>6</v>
      </c>
      <c r="F68" s="429">
        <v>0</v>
      </c>
      <c r="G68" s="423">
        <v>700</v>
      </c>
      <c r="H68" s="423">
        <f t="shared" si="0"/>
        <v>0</v>
      </c>
    </row>
    <row r="69" spans="1:8" ht="14.25" x14ac:dyDescent="0.2">
      <c r="A69" s="418" t="s">
        <v>1149</v>
      </c>
      <c r="B69" s="419"/>
      <c r="C69" s="419"/>
      <c r="D69" s="420"/>
      <c r="E69" s="421" t="s">
        <v>6</v>
      </c>
      <c r="F69" s="429">
        <v>0</v>
      </c>
      <c r="G69" s="423">
        <v>600</v>
      </c>
      <c r="H69" s="423">
        <f t="shared" si="0"/>
        <v>0</v>
      </c>
    </row>
    <row r="70" spans="1:8" ht="14.25" x14ac:dyDescent="0.2">
      <c r="A70" s="418" t="s">
        <v>254</v>
      </c>
      <c r="B70" s="419"/>
      <c r="C70" s="419"/>
      <c r="D70" s="420"/>
      <c r="E70" s="421" t="s">
        <v>6</v>
      </c>
      <c r="F70" s="429">
        <v>0</v>
      </c>
      <c r="G70" s="423">
        <v>1660</v>
      </c>
      <c r="H70" s="423">
        <f t="shared" ref="H70:H113" si="1">F70*G70</f>
        <v>0</v>
      </c>
    </row>
    <row r="71" spans="1:8" ht="14.25" x14ac:dyDescent="0.2">
      <c r="A71" s="418" t="s">
        <v>255</v>
      </c>
      <c r="B71" s="419"/>
      <c r="C71" s="419"/>
      <c r="D71" s="420"/>
      <c r="E71" s="421" t="s">
        <v>6</v>
      </c>
      <c r="F71" s="429">
        <v>0</v>
      </c>
      <c r="G71" s="423">
        <v>2250</v>
      </c>
      <c r="H71" s="423">
        <f t="shared" si="1"/>
        <v>0</v>
      </c>
    </row>
    <row r="72" spans="1:8" ht="14.25" x14ac:dyDescent="0.2">
      <c r="A72" s="418" t="s">
        <v>1150</v>
      </c>
      <c r="B72" s="419"/>
      <c r="C72" s="419"/>
      <c r="D72" s="420"/>
      <c r="E72" s="421" t="s">
        <v>8</v>
      </c>
      <c r="F72" s="429">
        <v>0</v>
      </c>
      <c r="G72" s="423">
        <v>500</v>
      </c>
      <c r="H72" s="423">
        <f t="shared" si="1"/>
        <v>0</v>
      </c>
    </row>
    <row r="73" spans="1:8" ht="14.25" x14ac:dyDescent="0.2">
      <c r="A73" s="419" t="s">
        <v>1151</v>
      </c>
      <c r="B73" s="419"/>
      <c r="C73" s="419"/>
      <c r="D73" s="420"/>
      <c r="E73" s="421" t="s">
        <v>6</v>
      </c>
      <c r="F73" s="429">
        <v>0</v>
      </c>
      <c r="G73" s="423">
        <v>700</v>
      </c>
      <c r="H73" s="423">
        <f t="shared" si="1"/>
        <v>0</v>
      </c>
    </row>
    <row r="74" spans="1:8" ht="14.25" x14ac:dyDescent="0.2">
      <c r="A74" s="418" t="s">
        <v>1152</v>
      </c>
      <c r="B74" s="419"/>
      <c r="C74" s="419"/>
      <c r="D74" s="420"/>
      <c r="E74" s="421" t="s">
        <v>8</v>
      </c>
      <c r="F74" s="429">
        <v>0</v>
      </c>
      <c r="G74" s="423">
        <v>150</v>
      </c>
      <c r="H74" s="423">
        <f t="shared" si="1"/>
        <v>0</v>
      </c>
    </row>
    <row r="75" spans="1:8" ht="14.25" x14ac:dyDescent="0.2">
      <c r="A75" s="418" t="s">
        <v>1153</v>
      </c>
      <c r="B75" s="419"/>
      <c r="C75" s="419"/>
      <c r="D75" s="420"/>
      <c r="E75" s="421" t="s">
        <v>8</v>
      </c>
      <c r="F75" s="429">
        <v>0</v>
      </c>
      <c r="G75" s="423">
        <v>180</v>
      </c>
      <c r="H75" s="423">
        <f t="shared" si="1"/>
        <v>0</v>
      </c>
    </row>
    <row r="76" spans="1:8" ht="14.25" x14ac:dyDescent="0.2">
      <c r="A76" s="418" t="s">
        <v>1154</v>
      </c>
      <c r="B76" s="419"/>
      <c r="C76" s="419"/>
      <c r="D76" s="420"/>
      <c r="E76" s="421" t="s">
        <v>6</v>
      </c>
      <c r="F76" s="429">
        <v>0</v>
      </c>
      <c r="G76" s="423">
        <v>300</v>
      </c>
      <c r="H76" s="423">
        <f t="shared" si="1"/>
        <v>0</v>
      </c>
    </row>
    <row r="77" spans="1:8" ht="14.25" x14ac:dyDescent="0.2">
      <c r="A77" s="418" t="s">
        <v>1155</v>
      </c>
      <c r="B77" s="419"/>
      <c r="C77" s="419"/>
      <c r="D77" s="420"/>
      <c r="E77" s="421" t="s">
        <v>6</v>
      </c>
      <c r="F77" s="429">
        <v>0</v>
      </c>
      <c r="G77" s="423">
        <v>12200</v>
      </c>
      <c r="H77" s="423">
        <f t="shared" si="1"/>
        <v>0</v>
      </c>
    </row>
    <row r="78" spans="1:8" ht="14.25" x14ac:dyDescent="0.2">
      <c r="A78" s="418" t="s">
        <v>1156</v>
      </c>
      <c r="B78" s="419"/>
      <c r="C78" s="419"/>
      <c r="D78" s="420"/>
      <c r="E78" s="421" t="s">
        <v>6</v>
      </c>
      <c r="F78" s="429">
        <v>0</v>
      </c>
      <c r="G78" s="423">
        <v>10000</v>
      </c>
      <c r="H78" s="423">
        <f t="shared" si="1"/>
        <v>0</v>
      </c>
    </row>
    <row r="79" spans="1:8" ht="14.25" x14ac:dyDescent="0.2">
      <c r="A79" s="418" t="s">
        <v>1157</v>
      </c>
      <c r="B79" s="419"/>
      <c r="C79" s="419"/>
      <c r="D79" s="420"/>
      <c r="E79" s="421" t="s">
        <v>6</v>
      </c>
      <c r="F79" s="429">
        <v>0</v>
      </c>
      <c r="G79" s="423">
        <v>10000</v>
      </c>
      <c r="H79" s="423">
        <f t="shared" si="1"/>
        <v>0</v>
      </c>
    </row>
    <row r="80" spans="1:8" ht="14.25" x14ac:dyDescent="0.2">
      <c r="A80" s="418" t="s">
        <v>1158</v>
      </c>
      <c r="B80" s="419"/>
      <c r="C80" s="419"/>
      <c r="D80" s="420"/>
      <c r="E80" s="421" t="s">
        <v>6</v>
      </c>
      <c r="F80" s="429">
        <v>0</v>
      </c>
      <c r="G80" s="423">
        <v>8000</v>
      </c>
      <c r="H80" s="423">
        <f t="shared" si="1"/>
        <v>0</v>
      </c>
    </row>
    <row r="81" spans="1:8" ht="14.25" x14ac:dyDescent="0.2">
      <c r="A81" s="418" t="s">
        <v>1159</v>
      </c>
      <c r="B81" s="419"/>
      <c r="C81" s="419"/>
      <c r="D81" s="420"/>
      <c r="E81" s="421" t="s">
        <v>8</v>
      </c>
      <c r="F81" s="429">
        <v>0</v>
      </c>
      <c r="G81" s="423">
        <v>300</v>
      </c>
      <c r="H81" s="423">
        <f t="shared" si="1"/>
        <v>0</v>
      </c>
    </row>
    <row r="82" spans="1:8" ht="14.25" x14ac:dyDescent="0.2">
      <c r="A82" s="418" t="s">
        <v>1160</v>
      </c>
      <c r="B82" s="419"/>
      <c r="C82" s="419"/>
      <c r="D82" s="420"/>
      <c r="E82" s="421" t="s">
        <v>8</v>
      </c>
      <c r="F82" s="429">
        <v>0</v>
      </c>
      <c r="G82" s="423">
        <v>300</v>
      </c>
      <c r="H82" s="423">
        <f t="shared" si="1"/>
        <v>0</v>
      </c>
    </row>
    <row r="83" spans="1:8" ht="14.25" x14ac:dyDescent="0.2">
      <c r="A83" s="418" t="s">
        <v>1161</v>
      </c>
      <c r="B83" s="419"/>
      <c r="C83" s="419"/>
      <c r="D83" s="420"/>
      <c r="E83" s="421" t="s">
        <v>8</v>
      </c>
      <c r="F83" s="429">
        <v>0</v>
      </c>
      <c r="G83" s="423">
        <v>300</v>
      </c>
      <c r="H83" s="423">
        <f t="shared" si="1"/>
        <v>0</v>
      </c>
    </row>
    <row r="84" spans="1:8" ht="14.25" x14ac:dyDescent="0.2">
      <c r="A84" s="418" t="s">
        <v>1162</v>
      </c>
      <c r="B84" s="419"/>
      <c r="C84" s="419"/>
      <c r="D84" s="420"/>
      <c r="E84" s="421" t="s">
        <v>6</v>
      </c>
      <c r="F84" s="429">
        <v>0</v>
      </c>
      <c r="G84" s="423">
        <v>1500</v>
      </c>
      <c r="H84" s="423">
        <f t="shared" si="1"/>
        <v>0</v>
      </c>
    </row>
    <row r="85" spans="1:8" ht="14.25" x14ac:dyDescent="0.2">
      <c r="A85" s="418" t="s">
        <v>1163</v>
      </c>
      <c r="B85" s="419"/>
      <c r="C85" s="419"/>
      <c r="D85" s="420"/>
      <c r="E85" s="421" t="s">
        <v>6</v>
      </c>
      <c r="F85" s="429">
        <v>0</v>
      </c>
      <c r="G85" s="423">
        <v>1200</v>
      </c>
      <c r="H85" s="423">
        <f t="shared" si="1"/>
        <v>0</v>
      </c>
    </row>
    <row r="86" spans="1:8" ht="14.25" x14ac:dyDescent="0.2">
      <c r="A86" s="418" t="s">
        <v>1164</v>
      </c>
      <c r="B86" s="419"/>
      <c r="C86" s="419"/>
      <c r="D86" s="420"/>
      <c r="E86" s="421" t="s">
        <v>6</v>
      </c>
      <c r="F86" s="429">
        <v>0</v>
      </c>
      <c r="G86" s="423">
        <v>1200</v>
      </c>
      <c r="H86" s="423">
        <f t="shared" si="1"/>
        <v>0</v>
      </c>
    </row>
    <row r="87" spans="1:8" ht="14.25" x14ac:dyDescent="0.2">
      <c r="A87" s="418" t="s">
        <v>1165</v>
      </c>
      <c r="B87" s="419"/>
      <c r="C87" s="419"/>
      <c r="D87" s="420"/>
      <c r="E87" s="421" t="s">
        <v>6</v>
      </c>
      <c r="F87" s="429">
        <v>0</v>
      </c>
      <c r="G87" s="423">
        <v>1000</v>
      </c>
      <c r="H87" s="423">
        <f t="shared" si="1"/>
        <v>0</v>
      </c>
    </row>
    <row r="88" spans="1:8" ht="14.25" x14ac:dyDescent="0.2">
      <c r="A88" s="418" t="s">
        <v>1166</v>
      </c>
      <c r="B88" s="419"/>
      <c r="C88" s="419"/>
      <c r="D88" s="420"/>
      <c r="E88" s="421" t="s">
        <v>6</v>
      </c>
      <c r="F88" s="429">
        <v>0</v>
      </c>
      <c r="G88" s="423">
        <v>800</v>
      </c>
      <c r="H88" s="423">
        <f t="shared" si="1"/>
        <v>0</v>
      </c>
    </row>
    <row r="89" spans="1:8" ht="14.25" x14ac:dyDescent="0.2">
      <c r="A89" s="418" t="s">
        <v>1167</v>
      </c>
      <c r="B89" s="419"/>
      <c r="C89" s="419"/>
      <c r="D89" s="420"/>
      <c r="E89" s="421" t="s">
        <v>6</v>
      </c>
      <c r="F89" s="429">
        <v>0</v>
      </c>
      <c r="G89" s="423">
        <v>250</v>
      </c>
      <c r="H89" s="423">
        <f t="shared" si="1"/>
        <v>0</v>
      </c>
    </row>
    <row r="90" spans="1:8" ht="14.25" x14ac:dyDescent="0.2">
      <c r="A90" s="418" t="s">
        <v>1168</v>
      </c>
      <c r="B90" s="419"/>
      <c r="C90" s="419"/>
      <c r="D90" s="420"/>
      <c r="E90" s="421" t="s">
        <v>6</v>
      </c>
      <c r="F90" s="429">
        <v>0</v>
      </c>
      <c r="G90" s="423">
        <v>250</v>
      </c>
      <c r="H90" s="423">
        <f t="shared" si="1"/>
        <v>0</v>
      </c>
    </row>
    <row r="91" spans="1:8" ht="14.25" x14ac:dyDescent="0.2">
      <c r="A91" s="418" t="s">
        <v>1169</v>
      </c>
      <c r="B91" s="419"/>
      <c r="C91" s="419"/>
      <c r="D91" s="420"/>
      <c r="E91" s="421" t="s">
        <v>6</v>
      </c>
      <c r="F91" s="429">
        <v>0</v>
      </c>
      <c r="G91" s="423">
        <v>250</v>
      </c>
      <c r="H91" s="423">
        <f t="shared" si="1"/>
        <v>0</v>
      </c>
    </row>
    <row r="92" spans="1:8" ht="14.25" x14ac:dyDescent="0.2">
      <c r="A92" s="418" t="s">
        <v>1170</v>
      </c>
      <c r="B92" s="419"/>
      <c r="C92" s="419"/>
      <c r="D92" s="420"/>
      <c r="E92" s="421" t="s">
        <v>6</v>
      </c>
      <c r="F92" s="429">
        <v>0</v>
      </c>
      <c r="G92" s="423">
        <v>3500</v>
      </c>
      <c r="H92" s="423">
        <f t="shared" si="1"/>
        <v>0</v>
      </c>
    </row>
    <row r="93" spans="1:8" ht="14.25" x14ac:dyDescent="0.2">
      <c r="A93" s="418" t="s">
        <v>1171</v>
      </c>
      <c r="B93" s="419"/>
      <c r="C93" s="419"/>
      <c r="D93" s="420"/>
      <c r="E93" s="421" t="s">
        <v>8</v>
      </c>
      <c r="F93" s="429">
        <v>0</v>
      </c>
      <c r="G93" s="423">
        <v>500</v>
      </c>
      <c r="H93" s="423">
        <f t="shared" si="1"/>
        <v>0</v>
      </c>
    </row>
    <row r="94" spans="1:8" ht="14.25" x14ac:dyDescent="0.2">
      <c r="A94" s="418" t="s">
        <v>1172</v>
      </c>
      <c r="B94" s="419"/>
      <c r="C94" s="419"/>
      <c r="D94" s="420"/>
      <c r="E94" s="421" t="s">
        <v>8</v>
      </c>
      <c r="F94" s="429">
        <v>0</v>
      </c>
      <c r="G94" s="423">
        <v>500</v>
      </c>
      <c r="H94" s="423">
        <f t="shared" si="1"/>
        <v>0</v>
      </c>
    </row>
    <row r="95" spans="1:8" ht="14.25" x14ac:dyDescent="0.2">
      <c r="A95" s="418" t="s">
        <v>1173</v>
      </c>
      <c r="B95" s="419"/>
      <c r="C95" s="419"/>
      <c r="D95" s="420"/>
      <c r="E95" s="421" t="s">
        <v>8</v>
      </c>
      <c r="F95" s="429">
        <v>0</v>
      </c>
      <c r="G95" s="423">
        <v>500</v>
      </c>
      <c r="H95" s="423">
        <f t="shared" si="1"/>
        <v>0</v>
      </c>
    </row>
    <row r="96" spans="1:8" ht="14.25" x14ac:dyDescent="0.2">
      <c r="A96" s="418" t="s">
        <v>1174</v>
      </c>
      <c r="B96" s="419"/>
      <c r="C96" s="419"/>
      <c r="D96" s="420"/>
      <c r="E96" s="421" t="s">
        <v>6</v>
      </c>
      <c r="F96" s="429">
        <v>0</v>
      </c>
      <c r="G96" s="423">
        <v>20000</v>
      </c>
      <c r="H96" s="423">
        <f t="shared" si="1"/>
        <v>0</v>
      </c>
    </row>
    <row r="97" spans="1:8" ht="14.25" x14ac:dyDescent="0.2">
      <c r="A97" s="418" t="s">
        <v>1175</v>
      </c>
      <c r="B97" s="419"/>
      <c r="C97" s="419"/>
      <c r="D97" s="420"/>
      <c r="E97" s="421" t="s">
        <v>1176</v>
      </c>
      <c r="F97" s="429">
        <v>0</v>
      </c>
      <c r="G97" s="423">
        <v>70</v>
      </c>
      <c r="H97" s="423">
        <f t="shared" si="1"/>
        <v>0</v>
      </c>
    </row>
    <row r="98" spans="1:8" ht="14.25" x14ac:dyDescent="0.2">
      <c r="A98" s="418" t="s">
        <v>1177</v>
      </c>
      <c r="B98" s="419"/>
      <c r="C98" s="419"/>
      <c r="D98" s="420"/>
      <c r="E98" s="421" t="s">
        <v>1176</v>
      </c>
      <c r="F98" s="429">
        <v>0</v>
      </c>
      <c r="G98" s="423">
        <v>35</v>
      </c>
      <c r="H98" s="423">
        <f t="shared" si="1"/>
        <v>0</v>
      </c>
    </row>
    <row r="99" spans="1:8" ht="14.25" x14ac:dyDescent="0.2">
      <c r="A99" s="418" t="s">
        <v>1178</v>
      </c>
      <c r="B99" s="419"/>
      <c r="C99" s="419"/>
      <c r="D99" s="420"/>
      <c r="E99" s="421" t="s">
        <v>1179</v>
      </c>
      <c r="F99" s="429">
        <v>0</v>
      </c>
      <c r="G99" s="423">
        <v>1000</v>
      </c>
      <c r="H99" s="423">
        <f t="shared" si="1"/>
        <v>0</v>
      </c>
    </row>
    <row r="100" spans="1:8" ht="14.25" x14ac:dyDescent="0.2">
      <c r="A100" s="418" t="s">
        <v>1180</v>
      </c>
      <c r="B100" s="419"/>
      <c r="C100" s="419"/>
      <c r="D100" s="420"/>
      <c r="E100" s="421" t="s">
        <v>1181</v>
      </c>
      <c r="F100" s="429">
        <v>0</v>
      </c>
      <c r="G100" s="423">
        <v>34000</v>
      </c>
      <c r="H100" s="423">
        <f t="shared" si="1"/>
        <v>0</v>
      </c>
    </row>
    <row r="101" spans="1:8" ht="14.25" x14ac:dyDescent="0.2">
      <c r="A101" s="418" t="s">
        <v>1182</v>
      </c>
      <c r="B101" s="419"/>
      <c r="C101" s="419"/>
      <c r="D101" s="420"/>
      <c r="E101" s="421" t="s">
        <v>6</v>
      </c>
      <c r="F101" s="429">
        <v>0</v>
      </c>
      <c r="G101" s="423">
        <v>200</v>
      </c>
      <c r="H101" s="423">
        <f t="shared" si="1"/>
        <v>0</v>
      </c>
    </row>
    <row r="102" spans="1:8" ht="14.25" x14ac:dyDescent="0.2">
      <c r="A102" s="418" t="s">
        <v>1183</v>
      </c>
      <c r="B102" s="419"/>
      <c r="C102" s="419"/>
      <c r="D102" s="420"/>
      <c r="E102" s="421" t="s">
        <v>6</v>
      </c>
      <c r="F102" s="429">
        <v>0</v>
      </c>
      <c r="G102" s="423">
        <v>33500</v>
      </c>
      <c r="H102" s="423">
        <f t="shared" si="1"/>
        <v>0</v>
      </c>
    </row>
    <row r="103" spans="1:8" ht="14.25" x14ac:dyDescent="0.2">
      <c r="A103" s="418" t="s">
        <v>1184</v>
      </c>
      <c r="B103" s="419"/>
      <c r="C103" s="419"/>
      <c r="D103" s="420"/>
      <c r="E103" s="421" t="s">
        <v>6</v>
      </c>
      <c r="F103" s="429">
        <v>0</v>
      </c>
      <c r="G103" s="423">
        <v>40000</v>
      </c>
      <c r="H103" s="423">
        <f t="shared" si="1"/>
        <v>0</v>
      </c>
    </row>
    <row r="104" spans="1:8" ht="14.25" x14ac:dyDescent="0.2">
      <c r="A104" s="418" t="s">
        <v>1185</v>
      </c>
      <c r="B104" s="419"/>
      <c r="C104" s="419"/>
      <c r="D104" s="420"/>
      <c r="E104" s="421" t="s">
        <v>6</v>
      </c>
      <c r="F104" s="429">
        <v>0</v>
      </c>
      <c r="G104" s="423">
        <v>70000</v>
      </c>
      <c r="H104" s="423">
        <f t="shared" si="1"/>
        <v>0</v>
      </c>
    </row>
    <row r="105" spans="1:8" ht="14.25" x14ac:dyDescent="0.2">
      <c r="A105" s="418" t="s">
        <v>1186</v>
      </c>
      <c r="B105" s="419"/>
      <c r="C105" s="419"/>
      <c r="D105" s="420"/>
      <c r="E105" s="421" t="s">
        <v>6</v>
      </c>
      <c r="F105" s="429">
        <v>0</v>
      </c>
      <c r="G105" s="423">
        <v>60000</v>
      </c>
      <c r="H105" s="423">
        <f t="shared" si="1"/>
        <v>0</v>
      </c>
    </row>
    <row r="106" spans="1:8" ht="14.25" x14ac:dyDescent="0.2">
      <c r="A106" s="418" t="s">
        <v>1187</v>
      </c>
      <c r="B106" s="419"/>
      <c r="C106" s="419"/>
      <c r="D106" s="420"/>
      <c r="E106" s="421" t="s">
        <v>6</v>
      </c>
      <c r="F106" s="429">
        <v>0</v>
      </c>
      <c r="G106" s="423">
        <v>50000</v>
      </c>
      <c r="H106" s="423">
        <f t="shared" si="1"/>
        <v>0</v>
      </c>
    </row>
    <row r="107" spans="1:8" ht="14.25" x14ac:dyDescent="0.2">
      <c r="A107" s="418" t="s">
        <v>1188</v>
      </c>
      <c r="B107" s="419"/>
      <c r="C107" s="419"/>
      <c r="D107" s="420"/>
      <c r="E107" s="421" t="s">
        <v>6</v>
      </c>
      <c r="F107" s="429">
        <v>0</v>
      </c>
      <c r="G107" s="423">
        <v>12000</v>
      </c>
      <c r="H107" s="423">
        <f t="shared" si="1"/>
        <v>0</v>
      </c>
    </row>
    <row r="108" spans="1:8" ht="14.25" x14ac:dyDescent="0.2">
      <c r="A108" s="418" t="s">
        <v>1189</v>
      </c>
      <c r="B108" s="419"/>
      <c r="C108" s="419"/>
      <c r="D108" s="420"/>
      <c r="E108" s="421" t="s">
        <v>6</v>
      </c>
      <c r="F108" s="429">
        <v>0</v>
      </c>
      <c r="G108" s="423">
        <v>10000</v>
      </c>
      <c r="H108" s="423">
        <f t="shared" si="1"/>
        <v>0</v>
      </c>
    </row>
    <row r="109" spans="1:8" ht="14.25" x14ac:dyDescent="0.2">
      <c r="A109" s="418" t="s">
        <v>1190</v>
      </c>
      <c r="B109" s="419"/>
      <c r="C109" s="419"/>
      <c r="D109" s="420"/>
      <c r="E109" s="421" t="s">
        <v>6</v>
      </c>
      <c r="F109" s="429">
        <v>0</v>
      </c>
      <c r="G109" s="423">
        <v>9000</v>
      </c>
      <c r="H109" s="423">
        <f t="shared" si="1"/>
        <v>0</v>
      </c>
    </row>
    <row r="110" spans="1:8" ht="14.25" x14ac:dyDescent="0.2">
      <c r="A110" s="418" t="s">
        <v>1191</v>
      </c>
      <c r="B110" s="419"/>
      <c r="C110" s="419"/>
      <c r="D110" s="420"/>
      <c r="E110" s="421" t="s">
        <v>6</v>
      </c>
      <c r="F110" s="429">
        <v>0</v>
      </c>
      <c r="G110" s="423">
        <v>13500</v>
      </c>
      <c r="H110" s="423">
        <f t="shared" si="1"/>
        <v>0</v>
      </c>
    </row>
    <row r="111" spans="1:8" ht="14.25" x14ac:dyDescent="0.2">
      <c r="A111" s="418" t="s">
        <v>1192</v>
      </c>
      <c r="B111" s="419"/>
      <c r="C111" s="419"/>
      <c r="D111" s="420"/>
      <c r="E111" s="421" t="s">
        <v>6</v>
      </c>
      <c r="F111" s="429">
        <v>0</v>
      </c>
      <c r="G111" s="423">
        <v>9000</v>
      </c>
      <c r="H111" s="423">
        <f t="shared" si="1"/>
        <v>0</v>
      </c>
    </row>
    <row r="112" spans="1:8" ht="14.25" x14ac:dyDescent="0.2">
      <c r="A112" s="418" t="s">
        <v>1193</v>
      </c>
      <c r="B112" s="419"/>
      <c r="C112" s="419"/>
      <c r="D112" s="420"/>
      <c r="E112" s="421" t="s">
        <v>6</v>
      </c>
      <c r="F112" s="429">
        <v>0</v>
      </c>
      <c r="G112" s="423">
        <v>4500</v>
      </c>
      <c r="H112" s="423">
        <f t="shared" si="1"/>
        <v>0</v>
      </c>
    </row>
    <row r="113" spans="1:8" ht="14.25" x14ac:dyDescent="0.2">
      <c r="A113" s="418" t="s">
        <v>1194</v>
      </c>
      <c r="B113" s="419"/>
      <c r="C113" s="419"/>
      <c r="D113" s="420"/>
      <c r="E113" s="421" t="s">
        <v>6</v>
      </c>
      <c r="F113" s="430"/>
      <c r="G113" s="423">
        <v>3000</v>
      </c>
      <c r="H113" s="423">
        <f t="shared" si="1"/>
        <v>0</v>
      </c>
    </row>
    <row r="114" spans="1:8" ht="16.5" customHeight="1" x14ac:dyDescent="0.2">
      <c r="A114" s="433" t="s">
        <v>1195</v>
      </c>
      <c r="B114" s="434"/>
      <c r="C114" s="434"/>
      <c r="D114" s="434"/>
      <c r="E114" s="434"/>
      <c r="F114" s="434"/>
      <c r="G114" s="435"/>
      <c r="H114" s="426">
        <f>SUM(H5:H113)</f>
        <v>836785.11919999996</v>
      </c>
    </row>
    <row r="116" spans="1:8" x14ac:dyDescent="0.2">
      <c r="E116" s="427"/>
    </row>
    <row r="117" spans="1:8" x14ac:dyDescent="0.2">
      <c r="E117" s="427"/>
    </row>
    <row r="118" spans="1:8" x14ac:dyDescent="0.2">
      <c r="E118" s="427"/>
    </row>
    <row r="119" spans="1:8" x14ac:dyDescent="0.2">
      <c r="E119" s="427"/>
    </row>
    <row r="120" spans="1:8" x14ac:dyDescent="0.2">
      <c r="E120" s="427"/>
    </row>
    <row r="121" spans="1:8" x14ac:dyDescent="0.2">
      <c r="E121" s="427"/>
    </row>
  </sheetData>
  <mergeCells count="3">
    <mergeCell ref="B2:H2"/>
    <mergeCell ref="B3:H3"/>
    <mergeCell ref="A114:G114"/>
  </mergeCells>
  <pageMargins left="0.7" right="0.7" top="0.75" bottom="0.75" header="0.3" footer="0.3"/>
  <pageSetup paperSize="9"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cols>
    <col min="1" max="16384" width="11.42578125" style="428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E754"/>
  <sheetViews>
    <sheetView view="pageBreakPreview" zoomScale="60" zoomScaleNormal="70" workbookViewId="0">
      <pane ySplit="1" topLeftCell="A486" activePane="bottomLeft" state="frozen"/>
      <selection pane="bottomLeft" activeCell="D479" sqref="D479"/>
    </sheetView>
  </sheetViews>
  <sheetFormatPr baseColWidth="10" defaultColWidth="11.42578125" defaultRowHeight="15" x14ac:dyDescent="0.2"/>
  <cols>
    <col min="1" max="1" width="86.7109375" style="393" customWidth="1"/>
    <col min="2" max="2" width="18.85546875" style="409" customWidth="1"/>
    <col min="3" max="4" width="16.28515625" style="409" customWidth="1"/>
    <col min="5" max="5" width="21.42578125" style="409" customWidth="1"/>
    <col min="6" max="16384" width="11.42578125" style="393"/>
  </cols>
  <sheetData>
    <row r="1" spans="1:5" ht="16.5" thickBot="1" x14ac:dyDescent="0.25">
      <c r="A1" s="391" t="s">
        <v>333</v>
      </c>
      <c r="B1" s="392" t="s">
        <v>334</v>
      </c>
      <c r="C1" s="392" t="s">
        <v>335</v>
      </c>
      <c r="D1" s="392" t="s">
        <v>5</v>
      </c>
      <c r="E1" s="392" t="s">
        <v>336</v>
      </c>
    </row>
    <row r="2" spans="1:5" ht="16.5" thickBot="1" x14ac:dyDescent="0.25">
      <c r="A2" s="436" t="s">
        <v>337</v>
      </c>
      <c r="B2" s="437"/>
      <c r="C2" s="437"/>
      <c r="D2" s="437"/>
      <c r="E2" s="438"/>
    </row>
    <row r="3" spans="1:5" ht="15.75" thickBot="1" x14ac:dyDescent="0.25">
      <c r="A3" s="394" t="s">
        <v>338</v>
      </c>
      <c r="B3" s="395" t="s">
        <v>339</v>
      </c>
      <c r="C3" s="396">
        <v>90</v>
      </c>
      <c r="D3" s="397">
        <v>0</v>
      </c>
      <c r="E3" s="396">
        <f>PRODUCT(D3,C3)</f>
        <v>0</v>
      </c>
    </row>
    <row r="4" spans="1:5" ht="15.75" thickBot="1" x14ac:dyDescent="0.25">
      <c r="A4" s="394" t="s">
        <v>340</v>
      </c>
      <c r="B4" s="395" t="s">
        <v>341</v>
      </c>
      <c r="C4" s="398">
        <v>160</v>
      </c>
      <c r="D4" s="399">
        <v>0</v>
      </c>
      <c r="E4" s="398">
        <f t="shared" ref="E4:E67" si="0">PRODUCT(D4,C4)</f>
        <v>0</v>
      </c>
    </row>
    <row r="5" spans="1:5" ht="15.75" thickBot="1" x14ac:dyDescent="0.25">
      <c r="A5" s="394" t="s">
        <v>342</v>
      </c>
      <c r="B5" s="395" t="s">
        <v>240</v>
      </c>
      <c r="C5" s="398">
        <v>750</v>
      </c>
      <c r="D5" s="399">
        <v>1</v>
      </c>
      <c r="E5" s="400">
        <f t="shared" si="0"/>
        <v>750</v>
      </c>
    </row>
    <row r="6" spans="1:5" ht="15.75" thickBot="1" x14ac:dyDescent="0.25">
      <c r="A6" s="394" t="s">
        <v>343</v>
      </c>
      <c r="B6" s="395" t="s">
        <v>240</v>
      </c>
      <c r="C6" s="398">
        <v>500</v>
      </c>
      <c r="D6" s="399">
        <v>0</v>
      </c>
      <c r="E6" s="398">
        <f t="shared" si="0"/>
        <v>0</v>
      </c>
    </row>
    <row r="7" spans="1:5" ht="15.75" thickBot="1" x14ac:dyDescent="0.25">
      <c r="A7" s="394" t="s">
        <v>344</v>
      </c>
      <c r="B7" s="395" t="s">
        <v>345</v>
      </c>
      <c r="C7" s="398">
        <v>20</v>
      </c>
      <c r="D7" s="399">
        <v>60</v>
      </c>
      <c r="E7" s="398">
        <f t="shared" si="0"/>
        <v>1200</v>
      </c>
    </row>
    <row r="8" spans="1:5" ht="15.75" thickBot="1" x14ac:dyDescent="0.25">
      <c r="A8" s="394" t="s">
        <v>346</v>
      </c>
      <c r="B8" s="395" t="s">
        <v>339</v>
      </c>
      <c r="C8" s="398">
        <v>100</v>
      </c>
      <c r="D8" s="399">
        <v>14</v>
      </c>
      <c r="E8" s="398">
        <f t="shared" si="0"/>
        <v>1400</v>
      </c>
    </row>
    <row r="9" spans="1:5" ht="15.75" thickBot="1" x14ac:dyDescent="0.25">
      <c r="A9" s="394" t="s">
        <v>347</v>
      </c>
      <c r="B9" s="395" t="s">
        <v>339</v>
      </c>
      <c r="C9" s="398">
        <v>40</v>
      </c>
      <c r="D9" s="399">
        <v>0</v>
      </c>
      <c r="E9" s="398">
        <f t="shared" si="0"/>
        <v>0</v>
      </c>
    </row>
    <row r="10" spans="1:5" ht="15.75" thickBot="1" x14ac:dyDescent="0.25">
      <c r="A10" s="394" t="s">
        <v>348</v>
      </c>
      <c r="B10" s="395" t="s">
        <v>339</v>
      </c>
      <c r="C10" s="398">
        <v>30</v>
      </c>
      <c r="D10" s="399">
        <v>0</v>
      </c>
      <c r="E10" s="398">
        <f t="shared" si="0"/>
        <v>0</v>
      </c>
    </row>
    <row r="11" spans="1:5" ht="15.75" thickBot="1" x14ac:dyDescent="0.25">
      <c r="A11" s="394" t="s">
        <v>349</v>
      </c>
      <c r="B11" s="395" t="s">
        <v>341</v>
      </c>
      <c r="C11" s="398">
        <v>100</v>
      </c>
      <c r="D11" s="399">
        <v>0</v>
      </c>
      <c r="E11" s="398">
        <f t="shared" si="0"/>
        <v>0</v>
      </c>
    </row>
    <row r="12" spans="1:5" ht="15.75" thickBot="1" x14ac:dyDescent="0.25">
      <c r="A12" s="394" t="s">
        <v>350</v>
      </c>
      <c r="B12" s="395" t="s">
        <v>341</v>
      </c>
      <c r="C12" s="398">
        <v>200</v>
      </c>
      <c r="D12" s="399">
        <v>0</v>
      </c>
      <c r="E12" s="398">
        <f t="shared" si="0"/>
        <v>0</v>
      </c>
    </row>
    <row r="13" spans="1:5" ht="15.75" thickBot="1" x14ac:dyDescent="0.25">
      <c r="A13" s="394" t="s">
        <v>351</v>
      </c>
      <c r="B13" s="395" t="s">
        <v>339</v>
      </c>
      <c r="C13" s="398">
        <v>16</v>
      </c>
      <c r="D13" s="399">
        <v>100</v>
      </c>
      <c r="E13" s="398">
        <f t="shared" si="0"/>
        <v>1600</v>
      </c>
    </row>
    <row r="14" spans="1:5" ht="15.75" thickBot="1" x14ac:dyDescent="0.25">
      <c r="A14" s="394" t="s">
        <v>352</v>
      </c>
      <c r="B14" s="395" t="s">
        <v>339</v>
      </c>
      <c r="C14" s="398">
        <v>270</v>
      </c>
      <c r="D14" s="399">
        <v>25</v>
      </c>
      <c r="E14" s="398">
        <f t="shared" si="0"/>
        <v>6750</v>
      </c>
    </row>
    <row r="15" spans="1:5" ht="15.75" thickBot="1" x14ac:dyDescent="0.25">
      <c r="A15" s="394" t="s">
        <v>353</v>
      </c>
      <c r="B15" s="395" t="s">
        <v>152</v>
      </c>
      <c r="C15" s="398">
        <v>360</v>
      </c>
      <c r="D15" s="399">
        <v>2</v>
      </c>
      <c r="E15" s="398">
        <f t="shared" si="0"/>
        <v>720</v>
      </c>
    </row>
    <row r="16" spans="1:5" ht="15.75" thickBot="1" x14ac:dyDescent="0.25">
      <c r="A16" s="394" t="s">
        <v>354</v>
      </c>
      <c r="B16" s="395" t="s">
        <v>152</v>
      </c>
      <c r="C16" s="398">
        <v>500</v>
      </c>
      <c r="D16" s="399">
        <v>0</v>
      </c>
      <c r="E16" s="398">
        <f t="shared" si="0"/>
        <v>0</v>
      </c>
    </row>
    <row r="17" spans="1:5" ht="15.75" thickBot="1" x14ac:dyDescent="0.25">
      <c r="A17" s="394" t="s">
        <v>355</v>
      </c>
      <c r="B17" s="395" t="s">
        <v>356</v>
      </c>
      <c r="C17" s="398">
        <v>20</v>
      </c>
      <c r="D17" s="399">
        <v>12</v>
      </c>
      <c r="E17" s="398">
        <f t="shared" si="0"/>
        <v>240</v>
      </c>
    </row>
    <row r="18" spans="1:5" ht="15.75" thickBot="1" x14ac:dyDescent="0.25">
      <c r="A18" s="394" t="s">
        <v>357</v>
      </c>
      <c r="B18" s="395" t="s">
        <v>358</v>
      </c>
      <c r="C18" s="398">
        <v>40</v>
      </c>
      <c r="D18" s="399">
        <v>15</v>
      </c>
      <c r="E18" s="398">
        <f t="shared" si="0"/>
        <v>600</v>
      </c>
    </row>
    <row r="19" spans="1:5" ht="15.75" thickBot="1" x14ac:dyDescent="0.25">
      <c r="A19" s="394" t="s">
        <v>359</v>
      </c>
      <c r="B19" s="395" t="s">
        <v>6</v>
      </c>
      <c r="C19" s="398">
        <v>4</v>
      </c>
      <c r="D19" s="399">
        <v>0</v>
      </c>
      <c r="E19" s="398">
        <f t="shared" si="0"/>
        <v>0</v>
      </c>
    </row>
    <row r="20" spans="1:5" ht="15.75" thickBot="1" x14ac:dyDescent="0.25">
      <c r="A20" s="394" t="s">
        <v>360</v>
      </c>
      <c r="B20" s="395" t="s">
        <v>6</v>
      </c>
      <c r="C20" s="398">
        <v>6</v>
      </c>
      <c r="D20" s="399">
        <v>0</v>
      </c>
      <c r="E20" s="398">
        <f t="shared" si="0"/>
        <v>0</v>
      </c>
    </row>
    <row r="21" spans="1:5" ht="15.75" thickBot="1" x14ac:dyDescent="0.25">
      <c r="A21" s="394" t="s">
        <v>361</v>
      </c>
      <c r="B21" s="395" t="s">
        <v>6</v>
      </c>
      <c r="C21" s="398">
        <v>2</v>
      </c>
      <c r="D21" s="399">
        <v>960</v>
      </c>
      <c r="E21" s="398">
        <f t="shared" si="0"/>
        <v>1920</v>
      </c>
    </row>
    <row r="22" spans="1:5" ht="15.75" thickBot="1" x14ac:dyDescent="0.25">
      <c r="A22" s="394" t="s">
        <v>362</v>
      </c>
      <c r="B22" s="395" t="s">
        <v>199</v>
      </c>
      <c r="C22" s="398">
        <v>40</v>
      </c>
      <c r="D22" s="399">
        <v>510</v>
      </c>
      <c r="E22" s="398">
        <f t="shared" si="0"/>
        <v>20400</v>
      </c>
    </row>
    <row r="23" spans="1:5" ht="15.75" thickBot="1" x14ac:dyDescent="0.25">
      <c r="A23" s="394" t="s">
        <v>363</v>
      </c>
      <c r="B23" s="395" t="s">
        <v>364</v>
      </c>
      <c r="C23" s="398">
        <v>1</v>
      </c>
      <c r="D23" s="399">
        <v>0</v>
      </c>
      <c r="E23" s="398">
        <f t="shared" si="0"/>
        <v>0</v>
      </c>
    </row>
    <row r="24" spans="1:5" ht="15.75" thickBot="1" x14ac:dyDescent="0.25">
      <c r="A24" s="394" t="s">
        <v>365</v>
      </c>
      <c r="B24" s="395" t="s">
        <v>152</v>
      </c>
      <c r="C24" s="398">
        <v>400</v>
      </c>
      <c r="D24" s="399">
        <v>0</v>
      </c>
      <c r="E24" s="398">
        <f t="shared" si="0"/>
        <v>0</v>
      </c>
    </row>
    <row r="25" spans="1:5" ht="15.75" thickBot="1" x14ac:dyDescent="0.25">
      <c r="A25" s="394" t="s">
        <v>366</v>
      </c>
      <c r="B25" s="395" t="s">
        <v>152</v>
      </c>
      <c r="C25" s="398">
        <v>800</v>
      </c>
      <c r="D25" s="399">
        <v>0</v>
      </c>
      <c r="E25" s="398">
        <f t="shared" si="0"/>
        <v>0</v>
      </c>
    </row>
    <row r="26" spans="1:5" ht="15.75" thickBot="1" x14ac:dyDescent="0.25">
      <c r="A26" s="394" t="s">
        <v>367</v>
      </c>
      <c r="B26" s="395" t="s">
        <v>152</v>
      </c>
      <c r="C26" s="398">
        <v>360</v>
      </c>
      <c r="D26" s="399">
        <v>0</v>
      </c>
      <c r="E26" s="398">
        <f t="shared" si="0"/>
        <v>0</v>
      </c>
    </row>
    <row r="27" spans="1:5" ht="15.75" thickBot="1" x14ac:dyDescent="0.25">
      <c r="A27" s="394" t="s">
        <v>368</v>
      </c>
      <c r="B27" s="395" t="s">
        <v>152</v>
      </c>
      <c r="C27" s="398">
        <v>500</v>
      </c>
      <c r="D27" s="399">
        <v>0</v>
      </c>
      <c r="E27" s="398">
        <f t="shared" si="0"/>
        <v>0</v>
      </c>
    </row>
    <row r="28" spans="1:5" ht="15.75" thickBot="1" x14ac:dyDescent="0.25">
      <c r="A28" s="394" t="s">
        <v>369</v>
      </c>
      <c r="B28" s="395" t="s">
        <v>341</v>
      </c>
      <c r="C28" s="398">
        <v>300</v>
      </c>
      <c r="D28" s="399">
        <v>0</v>
      </c>
      <c r="E28" s="398">
        <f t="shared" si="0"/>
        <v>0</v>
      </c>
    </row>
    <row r="29" spans="1:5" ht="15.75" thickBot="1" x14ac:dyDescent="0.25">
      <c r="A29" s="394" t="s">
        <v>370</v>
      </c>
      <c r="B29" s="395" t="s">
        <v>199</v>
      </c>
      <c r="C29" s="398">
        <v>50</v>
      </c>
      <c r="D29" s="399">
        <v>50</v>
      </c>
      <c r="E29" s="398">
        <f t="shared" si="0"/>
        <v>2500</v>
      </c>
    </row>
    <row r="30" spans="1:5" s="402" customFormat="1" ht="16.5" thickBot="1" x14ac:dyDescent="0.25">
      <c r="A30" s="439" t="s">
        <v>371</v>
      </c>
      <c r="B30" s="440"/>
      <c r="C30" s="440"/>
      <c r="D30" s="441"/>
      <c r="E30" s="401">
        <f>SUM(E3:E29)</f>
        <v>38080</v>
      </c>
    </row>
    <row r="31" spans="1:5" ht="16.5" thickBot="1" x14ac:dyDescent="0.25">
      <c r="A31" s="436" t="s">
        <v>372</v>
      </c>
      <c r="B31" s="437"/>
      <c r="C31" s="437"/>
      <c r="D31" s="437"/>
      <c r="E31" s="438"/>
    </row>
    <row r="32" spans="1:5" ht="15.75" thickBot="1" x14ac:dyDescent="0.25">
      <c r="A32" s="394" t="s">
        <v>373</v>
      </c>
      <c r="B32" s="395" t="s">
        <v>341</v>
      </c>
      <c r="C32" s="396">
        <v>392</v>
      </c>
      <c r="D32" s="397">
        <v>1</v>
      </c>
      <c r="E32" s="396">
        <f t="shared" si="0"/>
        <v>392</v>
      </c>
    </row>
    <row r="33" spans="1:5" ht="15.75" thickBot="1" x14ac:dyDescent="0.25">
      <c r="A33" s="394" t="s">
        <v>374</v>
      </c>
      <c r="B33" s="395" t="s">
        <v>341</v>
      </c>
      <c r="C33" s="398">
        <v>400</v>
      </c>
      <c r="D33" s="399">
        <v>2</v>
      </c>
      <c r="E33" s="398">
        <f t="shared" si="0"/>
        <v>800</v>
      </c>
    </row>
    <row r="34" spans="1:5" ht="15.75" thickBot="1" x14ac:dyDescent="0.25">
      <c r="A34" s="394" t="s">
        <v>375</v>
      </c>
      <c r="B34" s="395" t="s">
        <v>341</v>
      </c>
      <c r="C34" s="398">
        <v>500</v>
      </c>
      <c r="D34" s="399">
        <v>4</v>
      </c>
      <c r="E34" s="398">
        <f t="shared" si="0"/>
        <v>2000</v>
      </c>
    </row>
    <row r="35" spans="1:5" ht="15.75" thickBot="1" x14ac:dyDescent="0.25">
      <c r="A35" s="394" t="s">
        <v>376</v>
      </c>
      <c r="B35" s="395" t="s">
        <v>339</v>
      </c>
      <c r="C35" s="398">
        <v>540</v>
      </c>
      <c r="D35" s="399">
        <v>0</v>
      </c>
      <c r="E35" s="398">
        <f t="shared" si="0"/>
        <v>0</v>
      </c>
    </row>
    <row r="36" spans="1:5" ht="15.75" thickBot="1" x14ac:dyDescent="0.25">
      <c r="A36" s="394" t="s">
        <v>377</v>
      </c>
      <c r="B36" s="395" t="s">
        <v>339</v>
      </c>
      <c r="C36" s="398">
        <v>300</v>
      </c>
      <c r="D36" s="399">
        <v>0</v>
      </c>
      <c r="E36" s="398">
        <f t="shared" si="0"/>
        <v>0</v>
      </c>
    </row>
    <row r="37" spans="1:5" ht="15.75" thickBot="1" x14ac:dyDescent="0.25">
      <c r="A37" s="394" t="s">
        <v>378</v>
      </c>
      <c r="B37" s="395" t="s">
        <v>339</v>
      </c>
      <c r="C37" s="398">
        <v>300</v>
      </c>
      <c r="D37" s="399">
        <v>0</v>
      </c>
      <c r="E37" s="398">
        <f t="shared" si="0"/>
        <v>0</v>
      </c>
    </row>
    <row r="38" spans="1:5" ht="15.75" thickBot="1" x14ac:dyDescent="0.25">
      <c r="A38" s="394" t="s">
        <v>379</v>
      </c>
      <c r="B38" s="395" t="s">
        <v>341</v>
      </c>
      <c r="C38" s="398">
        <v>60</v>
      </c>
      <c r="D38" s="399">
        <v>0</v>
      </c>
      <c r="E38" s="398">
        <f t="shared" si="0"/>
        <v>0</v>
      </c>
    </row>
    <row r="39" spans="1:5" ht="15.75" thickBot="1" x14ac:dyDescent="0.25">
      <c r="A39" s="394" t="s">
        <v>380</v>
      </c>
      <c r="B39" s="395" t="s">
        <v>341</v>
      </c>
      <c r="C39" s="398">
        <v>100</v>
      </c>
      <c r="D39" s="399">
        <v>1</v>
      </c>
      <c r="E39" s="398">
        <f t="shared" si="0"/>
        <v>100</v>
      </c>
    </row>
    <row r="40" spans="1:5" ht="15.75" thickBot="1" x14ac:dyDescent="0.25">
      <c r="A40" s="394" t="s">
        <v>381</v>
      </c>
      <c r="B40" s="395" t="s">
        <v>339</v>
      </c>
      <c r="C40" s="398">
        <v>1200</v>
      </c>
      <c r="D40" s="399">
        <v>0</v>
      </c>
      <c r="E40" s="398">
        <f t="shared" si="0"/>
        <v>0</v>
      </c>
    </row>
    <row r="41" spans="1:5" ht="15.75" thickBot="1" x14ac:dyDescent="0.25">
      <c r="A41" s="394" t="s">
        <v>382</v>
      </c>
      <c r="B41" s="395" t="s">
        <v>341</v>
      </c>
      <c r="C41" s="398">
        <v>500</v>
      </c>
      <c r="D41" s="399">
        <v>0</v>
      </c>
      <c r="E41" s="398">
        <f t="shared" si="0"/>
        <v>0</v>
      </c>
    </row>
    <row r="42" spans="1:5" ht="15.75" thickBot="1" x14ac:dyDescent="0.25">
      <c r="A42" s="394" t="s">
        <v>383</v>
      </c>
      <c r="B42" s="395" t="s">
        <v>341</v>
      </c>
      <c r="C42" s="398">
        <v>240</v>
      </c>
      <c r="D42" s="399">
        <v>2</v>
      </c>
      <c r="E42" s="398">
        <f t="shared" si="0"/>
        <v>480</v>
      </c>
    </row>
    <row r="43" spans="1:5" ht="15.75" thickBot="1" x14ac:dyDescent="0.25">
      <c r="A43" s="394" t="s">
        <v>384</v>
      </c>
      <c r="B43" s="395" t="s">
        <v>341</v>
      </c>
      <c r="C43" s="398">
        <v>160</v>
      </c>
      <c r="D43" s="399">
        <v>0</v>
      </c>
      <c r="E43" s="398">
        <f t="shared" si="0"/>
        <v>0</v>
      </c>
    </row>
    <row r="44" spans="1:5" ht="15.75" thickBot="1" x14ac:dyDescent="0.25">
      <c r="A44" s="394" t="s">
        <v>385</v>
      </c>
      <c r="B44" s="395" t="s">
        <v>341</v>
      </c>
      <c r="C44" s="398">
        <v>240</v>
      </c>
      <c r="D44" s="399">
        <v>0</v>
      </c>
      <c r="E44" s="398">
        <f t="shared" si="0"/>
        <v>0</v>
      </c>
    </row>
    <row r="45" spans="1:5" ht="15.75" thickBot="1" x14ac:dyDescent="0.25">
      <c r="A45" s="394" t="s">
        <v>386</v>
      </c>
      <c r="B45" s="395" t="s">
        <v>339</v>
      </c>
      <c r="C45" s="398">
        <v>160</v>
      </c>
      <c r="D45" s="399">
        <v>0</v>
      </c>
      <c r="E45" s="398">
        <f t="shared" si="0"/>
        <v>0</v>
      </c>
    </row>
    <row r="46" spans="1:5" ht="15.75" thickBot="1" x14ac:dyDescent="0.25">
      <c r="A46" s="394" t="s">
        <v>387</v>
      </c>
      <c r="B46" s="395" t="s">
        <v>199</v>
      </c>
      <c r="C46" s="398">
        <v>240</v>
      </c>
      <c r="D46" s="399">
        <v>0</v>
      </c>
      <c r="E46" s="398">
        <f t="shared" si="0"/>
        <v>0</v>
      </c>
    </row>
    <row r="47" spans="1:5" ht="15.75" thickBot="1" x14ac:dyDescent="0.25">
      <c r="A47" s="394" t="s">
        <v>388</v>
      </c>
      <c r="B47" s="395" t="s">
        <v>199</v>
      </c>
      <c r="C47" s="398">
        <v>200</v>
      </c>
      <c r="D47" s="399">
        <v>0</v>
      </c>
      <c r="E47" s="398">
        <f t="shared" si="0"/>
        <v>0</v>
      </c>
    </row>
    <row r="48" spans="1:5" ht="15.75" thickBot="1" x14ac:dyDescent="0.25">
      <c r="A48" s="394" t="s">
        <v>389</v>
      </c>
      <c r="B48" s="395" t="s">
        <v>6</v>
      </c>
      <c r="C48" s="398">
        <v>160</v>
      </c>
      <c r="D48" s="399">
        <v>0</v>
      </c>
      <c r="E48" s="398">
        <f t="shared" si="0"/>
        <v>0</v>
      </c>
    </row>
    <row r="49" spans="1:5" ht="15.75" thickBot="1" x14ac:dyDescent="0.25">
      <c r="A49" s="394" t="s">
        <v>390</v>
      </c>
      <c r="B49" s="395" t="s">
        <v>199</v>
      </c>
      <c r="C49" s="398">
        <v>240</v>
      </c>
      <c r="D49" s="399">
        <v>0</v>
      </c>
      <c r="E49" s="398">
        <f t="shared" si="0"/>
        <v>0</v>
      </c>
    </row>
    <row r="50" spans="1:5" ht="15.75" thickBot="1" x14ac:dyDescent="0.25">
      <c r="A50" s="394" t="s">
        <v>391</v>
      </c>
      <c r="B50" s="395" t="s">
        <v>199</v>
      </c>
      <c r="C50" s="398">
        <v>200</v>
      </c>
      <c r="D50" s="399">
        <v>0</v>
      </c>
      <c r="E50" s="398">
        <f t="shared" si="0"/>
        <v>0</v>
      </c>
    </row>
    <row r="51" spans="1:5" ht="15.75" thickBot="1" x14ac:dyDescent="0.25">
      <c r="A51" s="394" t="s">
        <v>392</v>
      </c>
      <c r="B51" s="395" t="s">
        <v>199</v>
      </c>
      <c r="C51" s="398">
        <v>150</v>
      </c>
      <c r="D51" s="399">
        <v>0</v>
      </c>
      <c r="E51" s="398">
        <f t="shared" si="0"/>
        <v>0</v>
      </c>
    </row>
    <row r="52" spans="1:5" ht="15.75" thickBot="1" x14ac:dyDescent="0.25">
      <c r="A52" s="394" t="s">
        <v>393</v>
      </c>
      <c r="B52" s="395" t="s">
        <v>199</v>
      </c>
      <c r="C52" s="398">
        <v>180</v>
      </c>
      <c r="D52" s="399">
        <v>0</v>
      </c>
      <c r="E52" s="398">
        <f t="shared" si="0"/>
        <v>0</v>
      </c>
    </row>
    <row r="53" spans="1:5" ht="15.75" thickBot="1" x14ac:dyDescent="0.25">
      <c r="A53" s="394" t="s">
        <v>394</v>
      </c>
      <c r="B53" s="395" t="s">
        <v>199</v>
      </c>
      <c r="C53" s="398">
        <v>160</v>
      </c>
      <c r="D53" s="399">
        <v>0</v>
      </c>
      <c r="E53" s="398">
        <f t="shared" si="0"/>
        <v>0</v>
      </c>
    </row>
    <row r="54" spans="1:5" ht="15.75" thickBot="1" x14ac:dyDescent="0.25">
      <c r="A54" s="394" t="s">
        <v>395</v>
      </c>
      <c r="B54" s="395" t="s">
        <v>6</v>
      </c>
      <c r="C54" s="398">
        <v>50</v>
      </c>
      <c r="D54" s="399">
        <v>0</v>
      </c>
      <c r="E54" s="398">
        <f t="shared" si="0"/>
        <v>0</v>
      </c>
    </row>
    <row r="55" spans="1:5" ht="15.75" thickBot="1" x14ac:dyDescent="0.25">
      <c r="A55" s="394" t="s">
        <v>396</v>
      </c>
      <c r="B55" s="395" t="s">
        <v>6</v>
      </c>
      <c r="C55" s="396">
        <v>180</v>
      </c>
      <c r="D55" s="397">
        <v>0</v>
      </c>
      <c r="E55" s="396">
        <f t="shared" si="0"/>
        <v>0</v>
      </c>
    </row>
    <row r="56" spans="1:5" ht="15.75" thickBot="1" x14ac:dyDescent="0.25">
      <c r="A56" s="394" t="s">
        <v>397</v>
      </c>
      <c r="B56" s="395" t="s">
        <v>6</v>
      </c>
      <c r="C56" s="398">
        <v>280</v>
      </c>
      <c r="D56" s="399">
        <v>0</v>
      </c>
      <c r="E56" s="398">
        <f t="shared" si="0"/>
        <v>0</v>
      </c>
    </row>
    <row r="57" spans="1:5" ht="15.75" thickBot="1" x14ac:dyDescent="0.25">
      <c r="A57" s="394" t="s">
        <v>398</v>
      </c>
      <c r="B57" s="395" t="s">
        <v>199</v>
      </c>
      <c r="C57" s="398">
        <v>300</v>
      </c>
      <c r="D57" s="399">
        <v>0</v>
      </c>
      <c r="E57" s="398">
        <f t="shared" si="0"/>
        <v>0</v>
      </c>
    </row>
    <row r="58" spans="1:5" ht="15.75" thickBot="1" x14ac:dyDescent="0.25">
      <c r="A58" s="394" t="s">
        <v>399</v>
      </c>
      <c r="B58" s="395" t="s">
        <v>199</v>
      </c>
      <c r="C58" s="398">
        <v>320</v>
      </c>
      <c r="D58" s="399">
        <v>0</v>
      </c>
      <c r="E58" s="398">
        <f t="shared" si="0"/>
        <v>0</v>
      </c>
    </row>
    <row r="59" spans="1:5" ht="15.75" thickBot="1" x14ac:dyDescent="0.25">
      <c r="A59" s="394" t="s">
        <v>400</v>
      </c>
      <c r="B59" s="395" t="s">
        <v>199</v>
      </c>
      <c r="C59" s="398">
        <v>280</v>
      </c>
      <c r="D59" s="399">
        <v>0</v>
      </c>
      <c r="E59" s="398">
        <f t="shared" si="0"/>
        <v>0</v>
      </c>
    </row>
    <row r="60" spans="1:5" ht="15.75" thickBot="1" x14ac:dyDescent="0.25">
      <c r="A60" s="394" t="s">
        <v>401</v>
      </c>
      <c r="B60" s="395" t="s">
        <v>199</v>
      </c>
      <c r="C60" s="398">
        <v>300</v>
      </c>
      <c r="D60" s="399">
        <v>0</v>
      </c>
      <c r="E60" s="398">
        <f t="shared" si="0"/>
        <v>0</v>
      </c>
    </row>
    <row r="61" spans="1:5" ht="15.75" thickBot="1" x14ac:dyDescent="0.25">
      <c r="A61" s="394" t="s">
        <v>402</v>
      </c>
      <c r="B61" s="395" t="s">
        <v>199</v>
      </c>
      <c r="C61" s="398">
        <v>280</v>
      </c>
      <c r="D61" s="399">
        <v>0</v>
      </c>
      <c r="E61" s="398">
        <f t="shared" si="0"/>
        <v>0</v>
      </c>
    </row>
    <row r="62" spans="1:5" ht="15.75" thickBot="1" x14ac:dyDescent="0.25">
      <c r="A62" s="394" t="s">
        <v>403</v>
      </c>
      <c r="B62" s="395" t="s">
        <v>199</v>
      </c>
      <c r="C62" s="398">
        <v>270</v>
      </c>
      <c r="D62" s="399">
        <v>0</v>
      </c>
      <c r="E62" s="398">
        <f t="shared" si="0"/>
        <v>0</v>
      </c>
    </row>
    <row r="63" spans="1:5" ht="15.75" thickBot="1" x14ac:dyDescent="0.25">
      <c r="A63" s="394" t="s">
        <v>404</v>
      </c>
      <c r="B63" s="395" t="s">
        <v>199</v>
      </c>
      <c r="C63" s="398">
        <v>260</v>
      </c>
      <c r="D63" s="399">
        <v>0</v>
      </c>
      <c r="E63" s="398">
        <f t="shared" si="0"/>
        <v>0</v>
      </c>
    </row>
    <row r="64" spans="1:5" ht="15.75" thickBot="1" x14ac:dyDescent="0.25">
      <c r="A64" s="394" t="s">
        <v>405</v>
      </c>
      <c r="B64" s="395" t="s">
        <v>6</v>
      </c>
      <c r="C64" s="398">
        <v>500</v>
      </c>
      <c r="D64" s="399">
        <v>0</v>
      </c>
      <c r="E64" s="398">
        <f t="shared" si="0"/>
        <v>0</v>
      </c>
    </row>
    <row r="65" spans="1:5" ht="15.75" thickBot="1" x14ac:dyDescent="0.25">
      <c r="A65" s="394" t="s">
        <v>406</v>
      </c>
      <c r="B65" s="395" t="s">
        <v>6</v>
      </c>
      <c r="C65" s="398">
        <v>360</v>
      </c>
      <c r="D65" s="399">
        <v>0</v>
      </c>
      <c r="E65" s="398">
        <f t="shared" si="0"/>
        <v>0</v>
      </c>
    </row>
    <row r="66" spans="1:5" ht="15.75" thickBot="1" x14ac:dyDescent="0.25">
      <c r="A66" s="394" t="s">
        <v>407</v>
      </c>
      <c r="B66" s="395" t="s">
        <v>6</v>
      </c>
      <c r="C66" s="398">
        <v>170</v>
      </c>
      <c r="D66" s="399">
        <v>0</v>
      </c>
      <c r="E66" s="398">
        <f t="shared" si="0"/>
        <v>0</v>
      </c>
    </row>
    <row r="67" spans="1:5" ht="15.75" thickBot="1" x14ac:dyDescent="0.25">
      <c r="A67" s="394" t="s">
        <v>408</v>
      </c>
      <c r="B67" s="395" t="s">
        <v>6</v>
      </c>
      <c r="C67" s="398">
        <v>240</v>
      </c>
      <c r="D67" s="399">
        <v>0</v>
      </c>
      <c r="E67" s="398">
        <f t="shared" si="0"/>
        <v>0</v>
      </c>
    </row>
    <row r="68" spans="1:5" ht="15.75" thickBot="1" x14ac:dyDescent="0.25">
      <c r="A68" s="394" t="s">
        <v>409</v>
      </c>
      <c r="B68" s="395" t="s">
        <v>6</v>
      </c>
      <c r="C68" s="398">
        <v>140</v>
      </c>
      <c r="D68" s="399">
        <v>0</v>
      </c>
      <c r="E68" s="398">
        <f t="shared" ref="E68:E131" si="1">PRODUCT(D68,C68)</f>
        <v>0</v>
      </c>
    </row>
    <row r="69" spans="1:5" ht="15.75" thickBot="1" x14ac:dyDescent="0.25">
      <c r="A69" s="394" t="s">
        <v>410</v>
      </c>
      <c r="B69" s="395" t="s">
        <v>6</v>
      </c>
      <c r="C69" s="398">
        <v>220</v>
      </c>
      <c r="D69" s="399">
        <v>0</v>
      </c>
      <c r="E69" s="398">
        <f t="shared" si="1"/>
        <v>0</v>
      </c>
    </row>
    <row r="70" spans="1:5" ht="15.75" thickBot="1" x14ac:dyDescent="0.25">
      <c r="A70" s="394" t="s">
        <v>411</v>
      </c>
      <c r="B70" s="395" t="s">
        <v>6</v>
      </c>
      <c r="C70" s="398">
        <v>60</v>
      </c>
      <c r="D70" s="399">
        <v>2</v>
      </c>
      <c r="E70" s="398">
        <f t="shared" si="1"/>
        <v>120</v>
      </c>
    </row>
    <row r="71" spans="1:5" ht="15.75" thickBot="1" x14ac:dyDescent="0.25">
      <c r="A71" s="394" t="s">
        <v>412</v>
      </c>
      <c r="B71" s="395" t="s">
        <v>6</v>
      </c>
      <c r="C71" s="398">
        <v>60</v>
      </c>
      <c r="D71" s="399">
        <v>4</v>
      </c>
      <c r="E71" s="398">
        <f t="shared" si="1"/>
        <v>240</v>
      </c>
    </row>
    <row r="72" spans="1:5" ht="15.75" thickBot="1" x14ac:dyDescent="0.25">
      <c r="A72" s="394" t="s">
        <v>413</v>
      </c>
      <c r="B72" s="395" t="s">
        <v>6</v>
      </c>
      <c r="C72" s="398">
        <v>340</v>
      </c>
      <c r="D72" s="399">
        <v>0</v>
      </c>
      <c r="E72" s="398">
        <f t="shared" si="1"/>
        <v>0</v>
      </c>
    </row>
    <row r="73" spans="1:5" ht="15.75" thickBot="1" x14ac:dyDescent="0.25">
      <c r="A73" s="394" t="s">
        <v>414</v>
      </c>
      <c r="B73" s="395" t="s">
        <v>199</v>
      </c>
      <c r="C73" s="398">
        <v>1800</v>
      </c>
      <c r="D73" s="399">
        <v>0</v>
      </c>
      <c r="E73" s="398">
        <f t="shared" si="1"/>
        <v>0</v>
      </c>
    </row>
    <row r="74" spans="1:5" ht="15.75" thickBot="1" x14ac:dyDescent="0.25">
      <c r="A74" s="394" t="s">
        <v>415</v>
      </c>
      <c r="B74" s="395" t="s">
        <v>199</v>
      </c>
      <c r="C74" s="398">
        <v>900</v>
      </c>
      <c r="D74" s="399">
        <v>0</v>
      </c>
      <c r="E74" s="398">
        <f t="shared" si="1"/>
        <v>0</v>
      </c>
    </row>
    <row r="75" spans="1:5" ht="15.75" thickBot="1" x14ac:dyDescent="0.25">
      <c r="A75" s="394" t="s">
        <v>416</v>
      </c>
      <c r="B75" s="395" t="s">
        <v>199</v>
      </c>
      <c r="C75" s="398">
        <v>500</v>
      </c>
      <c r="D75" s="399">
        <v>0</v>
      </c>
      <c r="E75" s="398">
        <f t="shared" si="1"/>
        <v>0</v>
      </c>
    </row>
    <row r="76" spans="1:5" ht="15.75" thickBot="1" x14ac:dyDescent="0.25">
      <c r="A76" s="394" t="s">
        <v>417</v>
      </c>
      <c r="B76" s="395" t="s">
        <v>199</v>
      </c>
      <c r="C76" s="398">
        <v>300</v>
      </c>
      <c r="D76" s="399">
        <v>0</v>
      </c>
      <c r="E76" s="398">
        <f t="shared" si="1"/>
        <v>0</v>
      </c>
    </row>
    <row r="77" spans="1:5" ht="15.75" thickBot="1" x14ac:dyDescent="0.25">
      <c r="A77" s="394" t="s">
        <v>418</v>
      </c>
      <c r="B77" s="395" t="s">
        <v>199</v>
      </c>
      <c r="C77" s="398">
        <v>600</v>
      </c>
      <c r="D77" s="399">
        <v>0</v>
      </c>
      <c r="E77" s="398">
        <f t="shared" si="1"/>
        <v>0</v>
      </c>
    </row>
    <row r="78" spans="1:5" ht="15.75" thickBot="1" x14ac:dyDescent="0.25">
      <c r="A78" s="394" t="s">
        <v>419</v>
      </c>
      <c r="B78" s="395" t="s">
        <v>199</v>
      </c>
      <c r="C78" s="398">
        <v>1200</v>
      </c>
      <c r="D78" s="399">
        <v>0</v>
      </c>
      <c r="E78" s="398">
        <f t="shared" si="1"/>
        <v>0</v>
      </c>
    </row>
    <row r="79" spans="1:5" ht="15.75" thickBot="1" x14ac:dyDescent="0.25">
      <c r="A79" s="394" t="s">
        <v>420</v>
      </c>
      <c r="B79" s="395" t="s">
        <v>199</v>
      </c>
      <c r="C79" s="398">
        <v>1800</v>
      </c>
      <c r="D79" s="399">
        <v>0</v>
      </c>
      <c r="E79" s="398">
        <f t="shared" si="1"/>
        <v>0</v>
      </c>
    </row>
    <row r="80" spans="1:5" ht="15.75" thickBot="1" x14ac:dyDescent="0.25">
      <c r="A80" s="394" t="s">
        <v>421</v>
      </c>
      <c r="B80" s="395" t="s">
        <v>6</v>
      </c>
      <c r="C80" s="398">
        <v>360</v>
      </c>
      <c r="D80" s="399">
        <v>0</v>
      </c>
      <c r="E80" s="398">
        <f t="shared" si="1"/>
        <v>0</v>
      </c>
    </row>
    <row r="81" spans="1:5" ht="15.75" thickBot="1" x14ac:dyDescent="0.25">
      <c r="A81" s="394" t="s">
        <v>422</v>
      </c>
      <c r="B81" s="395" t="s">
        <v>6</v>
      </c>
      <c r="C81" s="398">
        <v>300</v>
      </c>
      <c r="D81" s="399">
        <v>0</v>
      </c>
      <c r="E81" s="398">
        <f t="shared" si="1"/>
        <v>0</v>
      </c>
    </row>
    <row r="82" spans="1:5" ht="15.75" thickBot="1" x14ac:dyDescent="0.25">
      <c r="A82" s="394" t="s">
        <v>423</v>
      </c>
      <c r="B82" s="395" t="s">
        <v>6</v>
      </c>
      <c r="C82" s="398">
        <v>400</v>
      </c>
      <c r="D82" s="399">
        <v>0</v>
      </c>
      <c r="E82" s="398">
        <f t="shared" si="1"/>
        <v>0</v>
      </c>
    </row>
    <row r="83" spans="1:5" ht="15.75" thickBot="1" x14ac:dyDescent="0.25">
      <c r="A83" s="394" t="s">
        <v>424</v>
      </c>
      <c r="B83" s="395" t="s">
        <v>6</v>
      </c>
      <c r="C83" s="398">
        <v>500</v>
      </c>
      <c r="D83" s="399">
        <v>0</v>
      </c>
      <c r="E83" s="398">
        <f t="shared" si="1"/>
        <v>0</v>
      </c>
    </row>
    <row r="84" spans="1:5" ht="15.75" thickBot="1" x14ac:dyDescent="0.25">
      <c r="A84" s="394" t="s">
        <v>425</v>
      </c>
      <c r="B84" s="395" t="s">
        <v>199</v>
      </c>
      <c r="C84" s="398">
        <v>1900</v>
      </c>
      <c r="D84" s="399">
        <v>0</v>
      </c>
      <c r="E84" s="398">
        <f t="shared" si="1"/>
        <v>0</v>
      </c>
    </row>
    <row r="85" spans="1:5" ht="15.75" thickBot="1" x14ac:dyDescent="0.25">
      <c r="A85" s="394" t="s">
        <v>426</v>
      </c>
      <c r="B85" s="395" t="s">
        <v>6</v>
      </c>
      <c r="C85" s="398">
        <v>900</v>
      </c>
      <c r="D85" s="399">
        <v>0</v>
      </c>
      <c r="E85" s="398">
        <f t="shared" si="1"/>
        <v>0</v>
      </c>
    </row>
    <row r="86" spans="1:5" s="402" customFormat="1" ht="16.5" thickBot="1" x14ac:dyDescent="0.25">
      <c r="A86" s="439" t="s">
        <v>371</v>
      </c>
      <c r="B86" s="440"/>
      <c r="C86" s="440"/>
      <c r="D86" s="441"/>
      <c r="E86" s="401">
        <f>SUM(E31:E85)</f>
        <v>4132</v>
      </c>
    </row>
    <row r="87" spans="1:5" ht="16.5" thickBot="1" x14ac:dyDescent="0.25">
      <c r="A87" s="436" t="s">
        <v>427</v>
      </c>
      <c r="B87" s="437"/>
      <c r="C87" s="437"/>
      <c r="D87" s="437"/>
      <c r="E87" s="438"/>
    </row>
    <row r="88" spans="1:5" ht="15.75" thickBot="1" x14ac:dyDescent="0.25">
      <c r="A88" s="394" t="s">
        <v>428</v>
      </c>
      <c r="B88" s="395" t="s">
        <v>339</v>
      </c>
      <c r="C88" s="396">
        <v>200</v>
      </c>
      <c r="D88" s="397">
        <v>15</v>
      </c>
      <c r="E88" s="396">
        <f t="shared" si="1"/>
        <v>3000</v>
      </c>
    </row>
    <row r="89" spans="1:5" ht="15.75" thickBot="1" x14ac:dyDescent="0.25">
      <c r="A89" s="394" t="s">
        <v>429</v>
      </c>
      <c r="B89" s="395" t="s">
        <v>339</v>
      </c>
      <c r="C89" s="398">
        <v>120</v>
      </c>
      <c r="D89" s="399">
        <v>0</v>
      </c>
      <c r="E89" s="398">
        <f t="shared" si="1"/>
        <v>0</v>
      </c>
    </row>
    <row r="90" spans="1:5" ht="15.75" thickBot="1" x14ac:dyDescent="0.25">
      <c r="A90" s="394" t="s">
        <v>430</v>
      </c>
      <c r="B90" s="395" t="s">
        <v>431</v>
      </c>
      <c r="C90" s="398">
        <v>50</v>
      </c>
      <c r="D90" s="399">
        <v>45</v>
      </c>
      <c r="E90" s="398">
        <f t="shared" si="1"/>
        <v>2250</v>
      </c>
    </row>
    <row r="91" spans="1:5" ht="15.75" thickBot="1" x14ac:dyDescent="0.25">
      <c r="A91" s="394" t="s">
        <v>432</v>
      </c>
      <c r="B91" s="395" t="s">
        <v>339</v>
      </c>
      <c r="C91" s="398">
        <v>300</v>
      </c>
      <c r="D91" s="399">
        <v>0</v>
      </c>
      <c r="E91" s="398">
        <f t="shared" si="1"/>
        <v>0</v>
      </c>
    </row>
    <row r="92" spans="1:5" ht="15.75" thickBot="1" x14ac:dyDescent="0.25">
      <c r="A92" s="394" t="s">
        <v>433</v>
      </c>
      <c r="B92" s="395" t="s">
        <v>339</v>
      </c>
      <c r="C92" s="398">
        <v>160</v>
      </c>
      <c r="D92" s="399">
        <v>0</v>
      </c>
      <c r="E92" s="398">
        <f t="shared" si="1"/>
        <v>0</v>
      </c>
    </row>
    <row r="93" spans="1:5" ht="15.75" thickBot="1" x14ac:dyDescent="0.25">
      <c r="A93" s="394" t="s">
        <v>434</v>
      </c>
      <c r="B93" s="395" t="s">
        <v>339</v>
      </c>
      <c r="C93" s="398">
        <v>180</v>
      </c>
      <c r="D93" s="399">
        <v>15</v>
      </c>
      <c r="E93" s="398">
        <f t="shared" si="1"/>
        <v>2700</v>
      </c>
    </row>
    <row r="94" spans="1:5" ht="15.75" thickBot="1" x14ac:dyDescent="0.25">
      <c r="A94" s="394" t="s">
        <v>435</v>
      </c>
      <c r="B94" s="395" t="s">
        <v>339</v>
      </c>
      <c r="C94" s="398">
        <v>180</v>
      </c>
      <c r="D94" s="399">
        <v>0</v>
      </c>
      <c r="E94" s="398">
        <f t="shared" si="1"/>
        <v>0</v>
      </c>
    </row>
    <row r="95" spans="1:5" ht="15.75" thickBot="1" x14ac:dyDescent="0.25">
      <c r="A95" s="394" t="s">
        <v>436</v>
      </c>
      <c r="B95" s="395" t="s">
        <v>339</v>
      </c>
      <c r="C95" s="398">
        <v>100</v>
      </c>
      <c r="D95" s="399">
        <v>15</v>
      </c>
      <c r="E95" s="398">
        <f t="shared" si="1"/>
        <v>1500</v>
      </c>
    </row>
    <row r="96" spans="1:5" ht="15.75" thickBot="1" x14ac:dyDescent="0.25">
      <c r="A96" s="394" t="s">
        <v>437</v>
      </c>
      <c r="B96" s="395" t="s">
        <v>339</v>
      </c>
      <c r="C96" s="398">
        <v>500</v>
      </c>
      <c r="D96" s="399">
        <v>0</v>
      </c>
      <c r="E96" s="398">
        <f t="shared" si="1"/>
        <v>0</v>
      </c>
    </row>
    <row r="97" spans="1:5" ht="15.75" thickBot="1" x14ac:dyDescent="0.25">
      <c r="A97" s="394" t="s">
        <v>438</v>
      </c>
      <c r="B97" s="395" t="s">
        <v>339</v>
      </c>
      <c r="C97" s="398">
        <v>500</v>
      </c>
      <c r="D97" s="399">
        <v>0</v>
      </c>
      <c r="E97" s="398">
        <f t="shared" si="1"/>
        <v>0</v>
      </c>
    </row>
    <row r="98" spans="1:5" ht="15.75" thickBot="1" x14ac:dyDescent="0.25">
      <c r="A98" s="394" t="s">
        <v>439</v>
      </c>
      <c r="B98" s="395" t="s">
        <v>339</v>
      </c>
      <c r="C98" s="398">
        <v>160</v>
      </c>
      <c r="D98" s="399">
        <v>0</v>
      </c>
      <c r="E98" s="398">
        <f t="shared" si="1"/>
        <v>0</v>
      </c>
    </row>
    <row r="99" spans="1:5" ht="15.75" thickBot="1" x14ac:dyDescent="0.25">
      <c r="A99" s="394" t="s">
        <v>440</v>
      </c>
      <c r="B99" s="395" t="s">
        <v>339</v>
      </c>
      <c r="C99" s="398">
        <v>180</v>
      </c>
      <c r="D99" s="399">
        <v>0</v>
      </c>
      <c r="E99" s="398">
        <f t="shared" si="1"/>
        <v>0</v>
      </c>
    </row>
    <row r="100" spans="1:5" ht="15.75" thickBot="1" x14ac:dyDescent="0.25">
      <c r="A100" s="394" t="s">
        <v>441</v>
      </c>
      <c r="B100" s="395" t="s">
        <v>339</v>
      </c>
      <c r="C100" s="398">
        <v>300</v>
      </c>
      <c r="D100" s="399">
        <v>0</v>
      </c>
      <c r="E100" s="398">
        <f t="shared" si="1"/>
        <v>0</v>
      </c>
    </row>
    <row r="101" spans="1:5" ht="15.75" thickBot="1" x14ac:dyDescent="0.25">
      <c r="A101" s="394" t="s">
        <v>442</v>
      </c>
      <c r="B101" s="395" t="s">
        <v>339</v>
      </c>
      <c r="C101" s="398">
        <v>300</v>
      </c>
      <c r="D101" s="399">
        <v>0</v>
      </c>
      <c r="E101" s="398">
        <f t="shared" si="1"/>
        <v>0</v>
      </c>
    </row>
    <row r="102" spans="1:5" ht="15.75" thickBot="1" x14ac:dyDescent="0.25">
      <c r="A102" s="394" t="s">
        <v>443</v>
      </c>
      <c r="B102" s="395" t="s">
        <v>444</v>
      </c>
      <c r="C102" s="398">
        <v>30</v>
      </c>
      <c r="D102" s="399">
        <v>0</v>
      </c>
      <c r="E102" s="398">
        <f t="shared" si="1"/>
        <v>0</v>
      </c>
    </row>
    <row r="103" spans="1:5" ht="15.75" thickBot="1" x14ac:dyDescent="0.25">
      <c r="A103" s="394" t="s">
        <v>445</v>
      </c>
      <c r="B103" s="395" t="s">
        <v>444</v>
      </c>
      <c r="C103" s="398">
        <v>60</v>
      </c>
      <c r="D103" s="399">
        <v>0</v>
      </c>
      <c r="E103" s="398">
        <f t="shared" si="1"/>
        <v>0</v>
      </c>
    </row>
    <row r="104" spans="1:5" ht="15.75" thickBot="1" x14ac:dyDescent="0.25">
      <c r="A104" s="394" t="s">
        <v>446</v>
      </c>
      <c r="B104" s="395" t="s">
        <v>199</v>
      </c>
      <c r="C104" s="398">
        <v>120</v>
      </c>
      <c r="D104" s="399">
        <v>0</v>
      </c>
      <c r="E104" s="398">
        <f t="shared" si="1"/>
        <v>0</v>
      </c>
    </row>
    <row r="105" spans="1:5" ht="15.75" thickBot="1" x14ac:dyDescent="0.25">
      <c r="A105" s="394" t="s">
        <v>447</v>
      </c>
      <c r="B105" s="395" t="s">
        <v>199</v>
      </c>
      <c r="C105" s="398">
        <v>140</v>
      </c>
      <c r="D105" s="399">
        <v>0</v>
      </c>
      <c r="E105" s="398">
        <f t="shared" si="1"/>
        <v>0</v>
      </c>
    </row>
    <row r="106" spans="1:5" ht="15.75" thickBot="1" x14ac:dyDescent="0.25">
      <c r="A106" s="394" t="s">
        <v>448</v>
      </c>
      <c r="B106" s="395" t="s">
        <v>199</v>
      </c>
      <c r="C106" s="398">
        <v>400</v>
      </c>
      <c r="D106" s="399">
        <v>1</v>
      </c>
      <c r="E106" s="398">
        <f t="shared" si="1"/>
        <v>400</v>
      </c>
    </row>
    <row r="107" spans="1:5" ht="15.75" thickBot="1" x14ac:dyDescent="0.25">
      <c r="A107" s="394" t="s">
        <v>449</v>
      </c>
      <c r="B107" s="395" t="s">
        <v>199</v>
      </c>
      <c r="C107" s="398">
        <v>300</v>
      </c>
      <c r="D107" s="399">
        <v>0</v>
      </c>
      <c r="E107" s="398">
        <f t="shared" si="1"/>
        <v>0</v>
      </c>
    </row>
    <row r="108" spans="1:5" ht="15.75" thickBot="1" x14ac:dyDescent="0.25">
      <c r="A108" s="394" t="s">
        <v>446</v>
      </c>
      <c r="B108" s="395" t="s">
        <v>199</v>
      </c>
      <c r="C108" s="398">
        <v>340</v>
      </c>
      <c r="D108" s="399">
        <v>0</v>
      </c>
      <c r="E108" s="398">
        <f t="shared" si="1"/>
        <v>0</v>
      </c>
    </row>
    <row r="109" spans="1:5" ht="15.75" thickBot="1" x14ac:dyDescent="0.25">
      <c r="A109" s="394" t="s">
        <v>450</v>
      </c>
      <c r="B109" s="395" t="s">
        <v>199</v>
      </c>
      <c r="C109" s="398">
        <v>240</v>
      </c>
      <c r="D109" s="399">
        <v>0</v>
      </c>
      <c r="E109" s="398">
        <f t="shared" si="1"/>
        <v>0</v>
      </c>
    </row>
    <row r="110" spans="1:5" ht="15.75" thickBot="1" x14ac:dyDescent="0.25">
      <c r="A110" s="394" t="s">
        <v>451</v>
      </c>
      <c r="B110" s="395" t="s">
        <v>444</v>
      </c>
      <c r="C110" s="398">
        <v>60</v>
      </c>
      <c r="D110" s="399">
        <v>4.5</v>
      </c>
      <c r="E110" s="398">
        <f t="shared" si="1"/>
        <v>270</v>
      </c>
    </row>
    <row r="111" spans="1:5" ht="15.75" thickBot="1" x14ac:dyDescent="0.25">
      <c r="A111" s="394" t="s">
        <v>452</v>
      </c>
      <c r="B111" s="395" t="s">
        <v>444</v>
      </c>
      <c r="C111" s="398">
        <v>100</v>
      </c>
      <c r="D111" s="399">
        <v>0</v>
      </c>
      <c r="E111" s="398">
        <f t="shared" si="1"/>
        <v>0</v>
      </c>
    </row>
    <row r="112" spans="1:5" ht="15.75" thickBot="1" x14ac:dyDescent="0.25">
      <c r="A112" s="394" t="s">
        <v>453</v>
      </c>
      <c r="B112" s="395" t="s">
        <v>444</v>
      </c>
      <c r="C112" s="398">
        <v>240</v>
      </c>
      <c r="D112" s="399">
        <v>4.5</v>
      </c>
      <c r="E112" s="398">
        <f t="shared" si="1"/>
        <v>1080</v>
      </c>
    </row>
    <row r="113" spans="1:5" ht="15.75" thickBot="1" x14ac:dyDescent="0.25">
      <c r="A113" s="394" t="s">
        <v>454</v>
      </c>
      <c r="B113" s="395" t="s">
        <v>6</v>
      </c>
      <c r="C113" s="398">
        <v>1200</v>
      </c>
      <c r="D113" s="399">
        <v>0</v>
      </c>
      <c r="E113" s="398">
        <f t="shared" si="1"/>
        <v>0</v>
      </c>
    </row>
    <row r="114" spans="1:5" ht="15.75" thickBot="1" x14ac:dyDescent="0.25">
      <c r="A114" s="394" t="s">
        <v>455</v>
      </c>
      <c r="B114" s="395" t="s">
        <v>444</v>
      </c>
      <c r="C114" s="398">
        <v>160</v>
      </c>
      <c r="D114" s="399">
        <v>0</v>
      </c>
      <c r="E114" s="398">
        <f t="shared" si="1"/>
        <v>0</v>
      </c>
    </row>
    <row r="115" spans="1:5" ht="15.75" thickBot="1" x14ac:dyDescent="0.25">
      <c r="A115" s="394" t="s">
        <v>456</v>
      </c>
      <c r="B115" s="395" t="s">
        <v>6</v>
      </c>
      <c r="C115" s="398">
        <v>140</v>
      </c>
      <c r="D115" s="399">
        <v>0</v>
      </c>
      <c r="E115" s="398">
        <f t="shared" si="1"/>
        <v>0</v>
      </c>
    </row>
    <row r="116" spans="1:5" ht="15.75" thickBot="1" x14ac:dyDescent="0.25">
      <c r="A116" s="394" t="s">
        <v>457</v>
      </c>
      <c r="B116" s="395" t="s">
        <v>6</v>
      </c>
      <c r="C116" s="398">
        <v>90</v>
      </c>
      <c r="D116" s="399">
        <v>0</v>
      </c>
      <c r="E116" s="398">
        <f t="shared" si="1"/>
        <v>0</v>
      </c>
    </row>
    <row r="117" spans="1:5" ht="15.75" thickBot="1" x14ac:dyDescent="0.25">
      <c r="A117" s="394" t="s">
        <v>458</v>
      </c>
      <c r="B117" s="395" t="s">
        <v>199</v>
      </c>
      <c r="C117" s="398">
        <v>160</v>
      </c>
      <c r="D117" s="399">
        <v>0</v>
      </c>
      <c r="E117" s="398">
        <f t="shared" si="1"/>
        <v>0</v>
      </c>
    </row>
    <row r="118" spans="1:5" ht="15.75" thickBot="1" x14ac:dyDescent="0.25">
      <c r="A118" s="394" t="s">
        <v>459</v>
      </c>
      <c r="B118" s="395" t="s">
        <v>444</v>
      </c>
      <c r="C118" s="398">
        <v>120</v>
      </c>
      <c r="D118" s="399">
        <v>0</v>
      </c>
      <c r="E118" s="398">
        <f t="shared" si="1"/>
        <v>0</v>
      </c>
    </row>
    <row r="119" spans="1:5" ht="15.75" thickBot="1" x14ac:dyDescent="0.25">
      <c r="A119" s="394" t="s">
        <v>460</v>
      </c>
      <c r="B119" s="395" t="s">
        <v>199</v>
      </c>
      <c r="C119" s="398">
        <v>10</v>
      </c>
      <c r="D119" s="399">
        <v>0</v>
      </c>
      <c r="E119" s="398">
        <f t="shared" si="1"/>
        <v>0</v>
      </c>
    </row>
    <row r="120" spans="1:5" ht="15.75" thickBot="1" x14ac:dyDescent="0.25">
      <c r="A120" s="394" t="s">
        <v>461</v>
      </c>
      <c r="B120" s="395" t="s">
        <v>358</v>
      </c>
      <c r="C120" s="398">
        <v>20</v>
      </c>
      <c r="D120" s="399">
        <v>15</v>
      </c>
      <c r="E120" s="398">
        <f t="shared" si="1"/>
        <v>300</v>
      </c>
    </row>
    <row r="121" spans="1:5" ht="15.75" thickBot="1" x14ac:dyDescent="0.25">
      <c r="A121" s="394" t="s">
        <v>462</v>
      </c>
      <c r="B121" s="395" t="s">
        <v>199</v>
      </c>
      <c r="C121" s="398">
        <v>90</v>
      </c>
      <c r="D121" s="399">
        <v>0</v>
      </c>
      <c r="E121" s="398">
        <f t="shared" si="1"/>
        <v>0</v>
      </c>
    </row>
    <row r="122" spans="1:5" ht="15.75" thickBot="1" x14ac:dyDescent="0.25">
      <c r="A122" s="394" t="s">
        <v>463</v>
      </c>
      <c r="B122" s="395" t="s">
        <v>199</v>
      </c>
      <c r="C122" s="398">
        <v>180</v>
      </c>
      <c r="D122" s="399">
        <v>0</v>
      </c>
      <c r="E122" s="398">
        <f t="shared" si="1"/>
        <v>0</v>
      </c>
    </row>
    <row r="123" spans="1:5" ht="15.75" thickBot="1" x14ac:dyDescent="0.25">
      <c r="A123" s="394" t="s">
        <v>464</v>
      </c>
      <c r="B123" s="395" t="s">
        <v>199</v>
      </c>
      <c r="C123" s="398">
        <v>200</v>
      </c>
      <c r="D123" s="399">
        <v>0</v>
      </c>
      <c r="E123" s="398">
        <f t="shared" si="1"/>
        <v>0</v>
      </c>
    </row>
    <row r="124" spans="1:5" ht="15.75" thickBot="1" x14ac:dyDescent="0.25">
      <c r="A124" s="394" t="s">
        <v>465</v>
      </c>
      <c r="B124" s="395" t="s">
        <v>199</v>
      </c>
      <c r="C124" s="398">
        <v>100</v>
      </c>
      <c r="D124" s="399">
        <v>0</v>
      </c>
      <c r="E124" s="398">
        <f t="shared" si="1"/>
        <v>0</v>
      </c>
    </row>
    <row r="125" spans="1:5" ht="15.75" thickBot="1" x14ac:dyDescent="0.25">
      <c r="A125" s="394" t="s">
        <v>466</v>
      </c>
      <c r="B125" s="395" t="s">
        <v>199</v>
      </c>
      <c r="C125" s="398">
        <v>300</v>
      </c>
      <c r="D125" s="399">
        <v>10.5</v>
      </c>
      <c r="E125" s="398">
        <f t="shared" si="1"/>
        <v>3150</v>
      </c>
    </row>
    <row r="126" spans="1:5" ht="15.75" thickBot="1" x14ac:dyDescent="0.25">
      <c r="A126" s="394" t="s">
        <v>467</v>
      </c>
      <c r="B126" s="395" t="s">
        <v>199</v>
      </c>
      <c r="C126" s="398">
        <v>320</v>
      </c>
      <c r="D126" s="399">
        <v>0</v>
      </c>
      <c r="E126" s="398">
        <f t="shared" si="1"/>
        <v>0</v>
      </c>
    </row>
    <row r="127" spans="1:5" ht="15.75" thickBot="1" x14ac:dyDescent="0.25">
      <c r="A127" s="394" t="s">
        <v>468</v>
      </c>
      <c r="B127" s="395" t="s">
        <v>444</v>
      </c>
      <c r="C127" s="398">
        <v>60</v>
      </c>
      <c r="D127" s="399">
        <v>0</v>
      </c>
      <c r="E127" s="398">
        <f t="shared" si="1"/>
        <v>0</v>
      </c>
    </row>
    <row r="128" spans="1:5" ht="15.75" thickBot="1" x14ac:dyDescent="0.25">
      <c r="A128" s="394" t="s">
        <v>469</v>
      </c>
      <c r="B128" s="395" t="s">
        <v>199</v>
      </c>
      <c r="C128" s="398">
        <v>440</v>
      </c>
      <c r="D128" s="399">
        <v>0</v>
      </c>
      <c r="E128" s="398">
        <f t="shared" si="1"/>
        <v>0</v>
      </c>
    </row>
    <row r="129" spans="1:5" ht="15.75" thickBot="1" x14ac:dyDescent="0.25">
      <c r="A129" s="394" t="s">
        <v>470</v>
      </c>
      <c r="B129" s="395" t="s">
        <v>199</v>
      </c>
      <c r="C129" s="398">
        <v>400</v>
      </c>
      <c r="D129" s="399">
        <v>0</v>
      </c>
      <c r="E129" s="398">
        <f t="shared" si="1"/>
        <v>0</v>
      </c>
    </row>
    <row r="130" spans="1:5" ht="15.75" thickBot="1" x14ac:dyDescent="0.25">
      <c r="A130" s="394" t="s">
        <v>471</v>
      </c>
      <c r="B130" s="395" t="s">
        <v>444</v>
      </c>
      <c r="C130" s="398">
        <v>120</v>
      </c>
      <c r="D130" s="399">
        <v>0</v>
      </c>
      <c r="E130" s="398">
        <f t="shared" si="1"/>
        <v>0</v>
      </c>
    </row>
    <row r="131" spans="1:5" ht="15.75" thickBot="1" x14ac:dyDescent="0.25">
      <c r="A131" s="394" t="s">
        <v>472</v>
      </c>
      <c r="B131" s="395" t="s">
        <v>199</v>
      </c>
      <c r="C131" s="398">
        <v>900</v>
      </c>
      <c r="D131" s="399">
        <v>0</v>
      </c>
      <c r="E131" s="398">
        <f t="shared" si="1"/>
        <v>0</v>
      </c>
    </row>
    <row r="132" spans="1:5" ht="15.75" thickBot="1" x14ac:dyDescent="0.25">
      <c r="A132" s="394" t="s">
        <v>473</v>
      </c>
      <c r="B132" s="395" t="s">
        <v>199</v>
      </c>
      <c r="C132" s="398">
        <v>1000</v>
      </c>
      <c r="D132" s="399">
        <v>0</v>
      </c>
      <c r="E132" s="398">
        <f t="shared" ref="E132:E195" si="2">PRODUCT(D132,C132)</f>
        <v>0</v>
      </c>
    </row>
    <row r="133" spans="1:5" ht="15.75" thickBot="1" x14ac:dyDescent="0.25">
      <c r="A133" s="394" t="s">
        <v>474</v>
      </c>
      <c r="B133" s="395" t="s">
        <v>199</v>
      </c>
      <c r="C133" s="398">
        <v>360</v>
      </c>
      <c r="D133" s="399">
        <v>0</v>
      </c>
      <c r="E133" s="398">
        <f t="shared" si="2"/>
        <v>0</v>
      </c>
    </row>
    <row r="134" spans="1:5" ht="15.75" thickBot="1" x14ac:dyDescent="0.25">
      <c r="A134" s="394" t="s">
        <v>475</v>
      </c>
      <c r="B134" s="395" t="s">
        <v>444</v>
      </c>
      <c r="C134" s="398">
        <v>180</v>
      </c>
      <c r="D134" s="399">
        <v>0</v>
      </c>
      <c r="E134" s="398">
        <f t="shared" si="2"/>
        <v>0</v>
      </c>
    </row>
    <row r="135" spans="1:5" ht="15.75" thickBot="1" x14ac:dyDescent="0.25">
      <c r="A135" s="394" t="s">
        <v>476</v>
      </c>
      <c r="B135" s="395" t="s">
        <v>199</v>
      </c>
      <c r="C135" s="398">
        <v>900</v>
      </c>
      <c r="D135" s="399">
        <v>0</v>
      </c>
      <c r="E135" s="398">
        <f t="shared" si="2"/>
        <v>0</v>
      </c>
    </row>
    <row r="136" spans="1:5" ht="15.75" thickBot="1" x14ac:dyDescent="0.25">
      <c r="A136" s="394" t="s">
        <v>477</v>
      </c>
      <c r="B136" s="395" t="s">
        <v>444</v>
      </c>
      <c r="C136" s="398">
        <v>700</v>
      </c>
      <c r="D136" s="399">
        <v>0</v>
      </c>
      <c r="E136" s="398">
        <f t="shared" si="2"/>
        <v>0</v>
      </c>
    </row>
    <row r="137" spans="1:5" ht="15.75" thickBot="1" x14ac:dyDescent="0.25">
      <c r="A137" s="394" t="s">
        <v>478</v>
      </c>
      <c r="B137" s="395" t="s">
        <v>199</v>
      </c>
      <c r="C137" s="398">
        <v>1700</v>
      </c>
      <c r="D137" s="399">
        <v>0</v>
      </c>
      <c r="E137" s="398">
        <f t="shared" si="2"/>
        <v>0</v>
      </c>
    </row>
    <row r="138" spans="1:5" ht="15.75" thickBot="1" x14ac:dyDescent="0.25">
      <c r="A138" s="394" t="s">
        <v>479</v>
      </c>
      <c r="B138" s="395" t="s">
        <v>444</v>
      </c>
      <c r="C138" s="398">
        <v>900</v>
      </c>
      <c r="D138" s="399">
        <v>0</v>
      </c>
      <c r="E138" s="398">
        <f t="shared" si="2"/>
        <v>0</v>
      </c>
    </row>
    <row r="139" spans="1:5" ht="15.75" thickBot="1" x14ac:dyDescent="0.25">
      <c r="A139" s="394" t="s">
        <v>480</v>
      </c>
      <c r="B139" s="395" t="s">
        <v>199</v>
      </c>
      <c r="C139" s="398">
        <v>800</v>
      </c>
      <c r="D139" s="399">
        <v>0</v>
      </c>
      <c r="E139" s="398">
        <f t="shared" si="2"/>
        <v>0</v>
      </c>
    </row>
    <row r="140" spans="1:5" ht="15.75" thickBot="1" x14ac:dyDescent="0.25">
      <c r="A140" s="394" t="s">
        <v>481</v>
      </c>
      <c r="B140" s="395" t="s">
        <v>444</v>
      </c>
      <c r="C140" s="398">
        <v>340</v>
      </c>
      <c r="D140" s="399">
        <v>0</v>
      </c>
      <c r="E140" s="398">
        <f t="shared" si="2"/>
        <v>0</v>
      </c>
    </row>
    <row r="141" spans="1:5" ht="15.75" thickBot="1" x14ac:dyDescent="0.25">
      <c r="A141" s="394" t="s">
        <v>482</v>
      </c>
      <c r="B141" s="395" t="s">
        <v>444</v>
      </c>
      <c r="C141" s="398">
        <v>720</v>
      </c>
      <c r="D141" s="399">
        <v>0</v>
      </c>
      <c r="E141" s="398">
        <f t="shared" si="2"/>
        <v>0</v>
      </c>
    </row>
    <row r="142" spans="1:5" ht="15.75" thickBot="1" x14ac:dyDescent="0.25">
      <c r="A142" s="394" t="s">
        <v>483</v>
      </c>
      <c r="B142" s="395" t="s">
        <v>444</v>
      </c>
      <c r="C142" s="398">
        <v>360</v>
      </c>
      <c r="D142" s="399">
        <v>0</v>
      </c>
      <c r="E142" s="398">
        <f t="shared" si="2"/>
        <v>0</v>
      </c>
    </row>
    <row r="143" spans="1:5" ht="15.75" thickBot="1" x14ac:dyDescent="0.25">
      <c r="A143" s="394" t="s">
        <v>484</v>
      </c>
      <c r="B143" s="395" t="s">
        <v>199</v>
      </c>
      <c r="C143" s="398">
        <v>1500</v>
      </c>
      <c r="D143" s="399">
        <v>0</v>
      </c>
      <c r="E143" s="398">
        <f t="shared" si="2"/>
        <v>0</v>
      </c>
    </row>
    <row r="144" spans="1:5" ht="15.75" thickBot="1" x14ac:dyDescent="0.25">
      <c r="A144" s="394" t="s">
        <v>485</v>
      </c>
      <c r="B144" s="395" t="s">
        <v>444</v>
      </c>
      <c r="C144" s="398">
        <v>800</v>
      </c>
      <c r="D144" s="399">
        <v>0</v>
      </c>
      <c r="E144" s="398">
        <f t="shared" si="2"/>
        <v>0</v>
      </c>
    </row>
    <row r="145" spans="1:5" ht="15.75" thickBot="1" x14ac:dyDescent="0.25">
      <c r="A145" s="394" t="s">
        <v>486</v>
      </c>
      <c r="B145" s="395" t="s">
        <v>199</v>
      </c>
      <c r="C145" s="398">
        <v>760</v>
      </c>
      <c r="D145" s="399">
        <v>10.5</v>
      </c>
      <c r="E145" s="398">
        <f t="shared" si="2"/>
        <v>7980</v>
      </c>
    </row>
    <row r="146" spans="1:5" ht="15.75" thickBot="1" x14ac:dyDescent="0.25">
      <c r="A146" s="394" t="s">
        <v>487</v>
      </c>
      <c r="B146" s="395" t="s">
        <v>444</v>
      </c>
      <c r="C146" s="398">
        <v>400</v>
      </c>
      <c r="D146" s="399">
        <v>0</v>
      </c>
      <c r="E146" s="398">
        <f t="shared" si="2"/>
        <v>0</v>
      </c>
    </row>
    <row r="147" spans="1:5" ht="15.75" thickBot="1" x14ac:dyDescent="0.25">
      <c r="A147" s="394" t="s">
        <v>488</v>
      </c>
      <c r="B147" s="395" t="s">
        <v>444</v>
      </c>
      <c r="C147" s="398">
        <v>300</v>
      </c>
      <c r="D147" s="399">
        <v>0</v>
      </c>
      <c r="E147" s="398">
        <f t="shared" si="2"/>
        <v>0</v>
      </c>
    </row>
    <row r="148" spans="1:5" ht="15.75" thickBot="1" x14ac:dyDescent="0.25">
      <c r="A148" s="394" t="s">
        <v>489</v>
      </c>
      <c r="B148" s="395" t="s">
        <v>6</v>
      </c>
      <c r="C148" s="398">
        <v>200</v>
      </c>
      <c r="D148" s="399">
        <v>0</v>
      </c>
      <c r="E148" s="398">
        <f t="shared" si="2"/>
        <v>0</v>
      </c>
    </row>
    <row r="149" spans="1:5" ht="15.75" thickBot="1" x14ac:dyDescent="0.25">
      <c r="A149" s="394" t="s">
        <v>490</v>
      </c>
      <c r="B149" s="395" t="s">
        <v>6</v>
      </c>
      <c r="C149" s="398">
        <v>100</v>
      </c>
      <c r="D149" s="399">
        <v>0</v>
      </c>
      <c r="E149" s="398">
        <f t="shared" si="2"/>
        <v>0</v>
      </c>
    </row>
    <row r="150" spans="1:5" ht="15.75" thickBot="1" x14ac:dyDescent="0.25">
      <c r="A150" s="394" t="s">
        <v>491</v>
      </c>
      <c r="B150" s="395" t="s">
        <v>6</v>
      </c>
      <c r="C150" s="398">
        <v>150</v>
      </c>
      <c r="D150" s="399">
        <v>0</v>
      </c>
      <c r="E150" s="398">
        <f t="shared" si="2"/>
        <v>0</v>
      </c>
    </row>
    <row r="151" spans="1:5" ht="15.75" thickBot="1" x14ac:dyDescent="0.25">
      <c r="A151" s="394" t="s">
        <v>492</v>
      </c>
      <c r="B151" s="395" t="s">
        <v>199</v>
      </c>
      <c r="C151" s="398">
        <v>20</v>
      </c>
      <c r="D151" s="399">
        <v>0</v>
      </c>
      <c r="E151" s="398">
        <f t="shared" si="2"/>
        <v>0</v>
      </c>
    </row>
    <row r="152" spans="1:5" ht="15.75" thickBot="1" x14ac:dyDescent="0.25">
      <c r="A152" s="394" t="s">
        <v>493</v>
      </c>
      <c r="B152" s="395" t="s">
        <v>199</v>
      </c>
      <c r="C152" s="398">
        <v>100</v>
      </c>
      <c r="D152" s="399">
        <v>0</v>
      </c>
      <c r="E152" s="398">
        <f t="shared" si="2"/>
        <v>0</v>
      </c>
    </row>
    <row r="153" spans="1:5" ht="15.75" thickBot="1" x14ac:dyDescent="0.25">
      <c r="A153" s="394" t="s">
        <v>494</v>
      </c>
      <c r="B153" s="395" t="s">
        <v>199</v>
      </c>
      <c r="C153" s="398">
        <v>240</v>
      </c>
      <c r="D153" s="399">
        <v>0</v>
      </c>
      <c r="E153" s="398">
        <f t="shared" si="2"/>
        <v>0</v>
      </c>
    </row>
    <row r="154" spans="1:5" ht="15.75" thickBot="1" x14ac:dyDescent="0.25">
      <c r="A154" s="394" t="s">
        <v>495</v>
      </c>
      <c r="B154" s="395" t="s">
        <v>199</v>
      </c>
      <c r="C154" s="398">
        <v>200</v>
      </c>
      <c r="D154" s="399">
        <v>0</v>
      </c>
      <c r="E154" s="398">
        <f t="shared" si="2"/>
        <v>0</v>
      </c>
    </row>
    <row r="155" spans="1:5" ht="15.75" thickBot="1" x14ac:dyDescent="0.25">
      <c r="A155" s="394" t="s">
        <v>496</v>
      </c>
      <c r="B155" s="395" t="s">
        <v>199</v>
      </c>
      <c r="C155" s="398">
        <v>200</v>
      </c>
      <c r="D155" s="399">
        <v>0</v>
      </c>
      <c r="E155" s="398">
        <f t="shared" si="2"/>
        <v>0</v>
      </c>
    </row>
    <row r="156" spans="1:5" ht="15.75" thickBot="1" x14ac:dyDescent="0.25">
      <c r="A156" s="394" t="s">
        <v>497</v>
      </c>
      <c r="B156" s="395" t="s">
        <v>444</v>
      </c>
      <c r="C156" s="398">
        <v>100</v>
      </c>
      <c r="D156" s="399">
        <v>0</v>
      </c>
      <c r="E156" s="398">
        <f t="shared" si="2"/>
        <v>0</v>
      </c>
    </row>
    <row r="157" spans="1:5" ht="15.75" thickBot="1" x14ac:dyDescent="0.25">
      <c r="A157" s="394" t="s">
        <v>498</v>
      </c>
      <c r="B157" s="395" t="s">
        <v>444</v>
      </c>
      <c r="C157" s="398">
        <v>90</v>
      </c>
      <c r="D157" s="399">
        <v>0</v>
      </c>
      <c r="E157" s="398">
        <f t="shared" si="2"/>
        <v>0</v>
      </c>
    </row>
    <row r="158" spans="1:5" ht="15.75" thickBot="1" x14ac:dyDescent="0.25">
      <c r="A158" s="394" t="s">
        <v>499</v>
      </c>
      <c r="B158" s="395" t="s">
        <v>199</v>
      </c>
      <c r="C158" s="398">
        <v>180</v>
      </c>
      <c r="D158" s="399">
        <v>0</v>
      </c>
      <c r="E158" s="398">
        <f t="shared" si="2"/>
        <v>0</v>
      </c>
    </row>
    <row r="159" spans="1:5" ht="15.75" thickBot="1" x14ac:dyDescent="0.25">
      <c r="A159" s="394" t="s">
        <v>500</v>
      </c>
      <c r="B159" s="395" t="s">
        <v>199</v>
      </c>
      <c r="C159" s="398">
        <v>440</v>
      </c>
      <c r="D159" s="399">
        <v>0</v>
      </c>
      <c r="E159" s="398">
        <f t="shared" si="2"/>
        <v>0</v>
      </c>
    </row>
    <row r="160" spans="1:5" ht="15.75" thickBot="1" x14ac:dyDescent="0.25">
      <c r="A160" s="394" t="s">
        <v>501</v>
      </c>
      <c r="B160" s="395" t="s">
        <v>199</v>
      </c>
      <c r="C160" s="398">
        <v>100</v>
      </c>
      <c r="D160" s="399">
        <v>0</v>
      </c>
      <c r="E160" s="398">
        <f t="shared" si="2"/>
        <v>0</v>
      </c>
    </row>
    <row r="161" spans="1:5" s="402" customFormat="1" ht="16.5" thickBot="1" x14ac:dyDescent="0.25">
      <c r="A161" s="439" t="s">
        <v>371</v>
      </c>
      <c r="B161" s="440"/>
      <c r="C161" s="440"/>
      <c r="D161" s="441"/>
      <c r="E161" s="401">
        <f>SUM(E88:E160)</f>
        <v>22630</v>
      </c>
    </row>
    <row r="162" spans="1:5" ht="16.5" thickBot="1" x14ac:dyDescent="0.25">
      <c r="A162" s="436" t="s">
        <v>502</v>
      </c>
      <c r="B162" s="437"/>
      <c r="C162" s="437"/>
      <c r="D162" s="437"/>
      <c r="E162" s="438"/>
    </row>
    <row r="163" spans="1:5" ht="15.75" thickBot="1" x14ac:dyDescent="0.25">
      <c r="A163" s="394" t="s">
        <v>503</v>
      </c>
      <c r="B163" s="395" t="s">
        <v>339</v>
      </c>
      <c r="C163" s="396">
        <v>200</v>
      </c>
      <c r="D163" s="397">
        <v>30</v>
      </c>
      <c r="E163" s="396">
        <f t="shared" si="2"/>
        <v>6000</v>
      </c>
    </row>
    <row r="164" spans="1:5" ht="15.75" thickBot="1" x14ac:dyDescent="0.25">
      <c r="A164" s="394" t="s">
        <v>504</v>
      </c>
      <c r="B164" s="395" t="s">
        <v>431</v>
      </c>
      <c r="C164" s="398">
        <v>140</v>
      </c>
      <c r="D164" s="399">
        <v>13</v>
      </c>
      <c r="E164" s="398">
        <f t="shared" si="2"/>
        <v>1820</v>
      </c>
    </row>
    <row r="165" spans="1:5" ht="15.75" thickBot="1" x14ac:dyDescent="0.25">
      <c r="A165" s="394" t="s">
        <v>505</v>
      </c>
      <c r="B165" s="395" t="s">
        <v>339</v>
      </c>
      <c r="C165" s="398">
        <v>80</v>
      </c>
      <c r="D165" s="399">
        <v>0</v>
      </c>
      <c r="E165" s="398">
        <f t="shared" si="2"/>
        <v>0</v>
      </c>
    </row>
    <row r="166" spans="1:5" ht="15.75" thickBot="1" x14ac:dyDescent="0.25">
      <c r="A166" s="394" t="s">
        <v>506</v>
      </c>
      <c r="B166" s="395" t="s">
        <v>431</v>
      </c>
      <c r="C166" s="398">
        <v>90</v>
      </c>
      <c r="D166" s="399">
        <v>0</v>
      </c>
      <c r="E166" s="398">
        <f t="shared" si="2"/>
        <v>0</v>
      </c>
    </row>
    <row r="167" spans="1:5" ht="15.75" thickBot="1" x14ac:dyDescent="0.25">
      <c r="A167" s="394" t="s">
        <v>507</v>
      </c>
      <c r="B167" s="395" t="s">
        <v>339</v>
      </c>
      <c r="C167" s="398">
        <v>160</v>
      </c>
      <c r="D167" s="399">
        <v>0</v>
      </c>
      <c r="E167" s="398">
        <f t="shared" si="2"/>
        <v>0</v>
      </c>
    </row>
    <row r="168" spans="1:5" ht="15.75" thickBot="1" x14ac:dyDescent="0.25">
      <c r="A168" s="394" t="s">
        <v>508</v>
      </c>
      <c r="B168" s="395" t="s">
        <v>341</v>
      </c>
      <c r="C168" s="398">
        <v>4</v>
      </c>
      <c r="D168" s="399">
        <v>0</v>
      </c>
      <c r="E168" s="398">
        <f t="shared" si="2"/>
        <v>0</v>
      </c>
    </row>
    <row r="169" spans="1:5" ht="15.75" thickBot="1" x14ac:dyDescent="0.25">
      <c r="A169" s="394" t="s">
        <v>509</v>
      </c>
      <c r="B169" s="395" t="s">
        <v>339</v>
      </c>
      <c r="C169" s="398">
        <v>400</v>
      </c>
      <c r="D169" s="399">
        <v>0</v>
      </c>
      <c r="E169" s="398">
        <f t="shared" si="2"/>
        <v>0</v>
      </c>
    </row>
    <row r="170" spans="1:5" ht="15.75" thickBot="1" x14ac:dyDescent="0.25">
      <c r="A170" s="394" t="s">
        <v>510</v>
      </c>
      <c r="B170" s="395" t="s">
        <v>199</v>
      </c>
      <c r="C170" s="398">
        <v>120</v>
      </c>
      <c r="D170" s="399">
        <v>0</v>
      </c>
      <c r="E170" s="398">
        <f t="shared" si="2"/>
        <v>0</v>
      </c>
    </row>
    <row r="171" spans="1:5" ht="15.75" thickBot="1" x14ac:dyDescent="0.25">
      <c r="A171" s="394" t="s">
        <v>511</v>
      </c>
      <c r="B171" s="395" t="s">
        <v>199</v>
      </c>
      <c r="C171" s="398">
        <v>200</v>
      </c>
      <c r="D171" s="399">
        <v>0</v>
      </c>
      <c r="E171" s="398">
        <f t="shared" si="2"/>
        <v>0</v>
      </c>
    </row>
    <row r="172" spans="1:5" ht="15.75" thickBot="1" x14ac:dyDescent="0.25">
      <c r="A172" s="394" t="s">
        <v>512</v>
      </c>
      <c r="B172" s="395" t="s">
        <v>199</v>
      </c>
      <c r="C172" s="398">
        <v>260</v>
      </c>
      <c r="D172" s="399">
        <v>0</v>
      </c>
      <c r="E172" s="398">
        <f t="shared" si="2"/>
        <v>0</v>
      </c>
    </row>
    <row r="173" spans="1:5" ht="15.75" thickBot="1" x14ac:dyDescent="0.25">
      <c r="A173" s="394" t="s">
        <v>513</v>
      </c>
      <c r="B173" s="395" t="s">
        <v>444</v>
      </c>
      <c r="C173" s="398">
        <v>60</v>
      </c>
      <c r="D173" s="399">
        <v>30</v>
      </c>
      <c r="E173" s="398">
        <f t="shared" si="2"/>
        <v>1800</v>
      </c>
    </row>
    <row r="174" spans="1:5" ht="15.75" thickBot="1" x14ac:dyDescent="0.25">
      <c r="A174" s="394" t="s">
        <v>514</v>
      </c>
      <c r="B174" s="395" t="s">
        <v>444</v>
      </c>
      <c r="C174" s="398">
        <v>70</v>
      </c>
      <c r="D174" s="399">
        <v>10</v>
      </c>
      <c r="E174" s="398">
        <f t="shared" si="2"/>
        <v>700</v>
      </c>
    </row>
    <row r="175" spans="1:5" ht="16.5" thickBot="1" x14ac:dyDescent="0.25">
      <c r="A175" s="394" t="s">
        <v>515</v>
      </c>
      <c r="B175" s="395" t="s">
        <v>199</v>
      </c>
      <c r="C175" s="398">
        <v>740</v>
      </c>
      <c r="D175" s="399">
        <v>0</v>
      </c>
      <c r="E175" s="398">
        <f t="shared" si="2"/>
        <v>0</v>
      </c>
    </row>
    <row r="176" spans="1:5" ht="16.5" thickBot="1" x14ac:dyDescent="0.25">
      <c r="A176" s="394" t="s">
        <v>516</v>
      </c>
      <c r="B176" s="395" t="s">
        <v>199</v>
      </c>
      <c r="C176" s="398">
        <v>150</v>
      </c>
      <c r="D176" s="399">
        <v>0</v>
      </c>
      <c r="E176" s="398">
        <f t="shared" si="2"/>
        <v>0</v>
      </c>
    </row>
    <row r="177" spans="1:5" ht="15.75" thickBot="1" x14ac:dyDescent="0.25">
      <c r="A177" s="394" t="s">
        <v>517</v>
      </c>
      <c r="B177" s="395" t="s">
        <v>199</v>
      </c>
      <c r="C177" s="398">
        <v>500</v>
      </c>
      <c r="D177" s="399">
        <v>0</v>
      </c>
      <c r="E177" s="398">
        <f t="shared" si="2"/>
        <v>0</v>
      </c>
    </row>
    <row r="178" spans="1:5" ht="15.75" thickBot="1" x14ac:dyDescent="0.25">
      <c r="A178" s="394" t="s">
        <v>518</v>
      </c>
      <c r="B178" s="395" t="s">
        <v>199</v>
      </c>
      <c r="C178" s="398">
        <v>120</v>
      </c>
      <c r="D178" s="399">
        <v>0</v>
      </c>
      <c r="E178" s="398">
        <f t="shared" si="2"/>
        <v>0</v>
      </c>
    </row>
    <row r="179" spans="1:5" ht="15.75" thickBot="1" x14ac:dyDescent="0.25">
      <c r="A179" s="394" t="s">
        <v>519</v>
      </c>
      <c r="B179" s="395" t="s">
        <v>199</v>
      </c>
      <c r="C179" s="398">
        <v>440</v>
      </c>
      <c r="D179" s="399">
        <v>0</v>
      </c>
      <c r="E179" s="398">
        <f t="shared" si="2"/>
        <v>0</v>
      </c>
    </row>
    <row r="180" spans="1:5" ht="15.75" thickBot="1" x14ac:dyDescent="0.25">
      <c r="A180" s="394" t="s">
        <v>520</v>
      </c>
      <c r="B180" s="395" t="s">
        <v>199</v>
      </c>
      <c r="C180" s="398">
        <v>80</v>
      </c>
      <c r="D180" s="399">
        <v>0</v>
      </c>
      <c r="E180" s="398">
        <f t="shared" si="2"/>
        <v>0</v>
      </c>
    </row>
    <row r="181" spans="1:5" ht="15.75" thickBot="1" x14ac:dyDescent="0.25">
      <c r="A181" s="394" t="s">
        <v>521</v>
      </c>
      <c r="B181" s="395" t="s">
        <v>199</v>
      </c>
      <c r="C181" s="398">
        <v>360</v>
      </c>
      <c r="D181" s="399">
        <v>0</v>
      </c>
      <c r="E181" s="398">
        <f t="shared" si="2"/>
        <v>0</v>
      </c>
    </row>
    <row r="182" spans="1:5" ht="15.75" thickBot="1" x14ac:dyDescent="0.25">
      <c r="A182" s="394" t="s">
        <v>522</v>
      </c>
      <c r="B182" s="395" t="s">
        <v>199</v>
      </c>
      <c r="C182" s="398">
        <v>100</v>
      </c>
      <c r="D182" s="399">
        <v>0</v>
      </c>
      <c r="E182" s="398">
        <f t="shared" si="2"/>
        <v>0</v>
      </c>
    </row>
    <row r="183" spans="1:5" ht="15.75" thickBot="1" x14ac:dyDescent="0.25">
      <c r="A183" s="394" t="s">
        <v>523</v>
      </c>
      <c r="B183" s="395" t="s">
        <v>199</v>
      </c>
      <c r="C183" s="398">
        <v>200</v>
      </c>
      <c r="D183" s="399">
        <v>0</v>
      </c>
      <c r="E183" s="398">
        <f t="shared" si="2"/>
        <v>0</v>
      </c>
    </row>
    <row r="184" spans="1:5" ht="15.75" thickBot="1" x14ac:dyDescent="0.25">
      <c r="A184" s="394" t="s">
        <v>524</v>
      </c>
      <c r="B184" s="395" t="s">
        <v>199</v>
      </c>
      <c r="C184" s="398">
        <v>400</v>
      </c>
      <c r="D184" s="399">
        <v>0</v>
      </c>
      <c r="E184" s="398">
        <f t="shared" si="2"/>
        <v>0</v>
      </c>
    </row>
    <row r="185" spans="1:5" ht="15.75" thickBot="1" x14ac:dyDescent="0.25">
      <c r="A185" s="394" t="s">
        <v>525</v>
      </c>
      <c r="B185" s="395" t="s">
        <v>444</v>
      </c>
      <c r="C185" s="398">
        <v>120</v>
      </c>
      <c r="D185" s="399">
        <v>0</v>
      </c>
      <c r="E185" s="398">
        <f t="shared" si="2"/>
        <v>0</v>
      </c>
    </row>
    <row r="186" spans="1:5" s="402" customFormat="1" ht="16.5" thickBot="1" x14ac:dyDescent="0.25">
      <c r="A186" s="439" t="s">
        <v>371</v>
      </c>
      <c r="B186" s="440"/>
      <c r="C186" s="440"/>
      <c r="D186" s="441"/>
      <c r="E186" s="401">
        <f>SUM(E163:E185)</f>
        <v>10320</v>
      </c>
    </row>
    <row r="187" spans="1:5" ht="16.5" thickBot="1" x14ac:dyDescent="0.25">
      <c r="A187" s="436" t="s">
        <v>526</v>
      </c>
      <c r="B187" s="437"/>
      <c r="C187" s="437"/>
      <c r="D187" s="437"/>
      <c r="E187" s="438"/>
    </row>
    <row r="188" spans="1:5" ht="15.75" thickBot="1" x14ac:dyDescent="0.25">
      <c r="A188" s="394" t="s">
        <v>527</v>
      </c>
      <c r="B188" s="395" t="s">
        <v>341</v>
      </c>
      <c r="C188" s="396">
        <v>6</v>
      </c>
      <c r="D188" s="397">
        <v>0</v>
      </c>
      <c r="E188" s="396">
        <f t="shared" si="2"/>
        <v>0</v>
      </c>
    </row>
    <row r="189" spans="1:5" ht="15.75" thickBot="1" x14ac:dyDescent="0.25">
      <c r="A189" s="394" t="s">
        <v>528</v>
      </c>
      <c r="B189" s="395" t="s">
        <v>339</v>
      </c>
      <c r="C189" s="398">
        <v>280</v>
      </c>
      <c r="D189" s="399">
        <v>0</v>
      </c>
      <c r="E189" s="398">
        <f t="shared" si="2"/>
        <v>0</v>
      </c>
    </row>
    <row r="190" spans="1:5" ht="15.75" thickBot="1" x14ac:dyDescent="0.25">
      <c r="A190" s="394" t="s">
        <v>529</v>
      </c>
      <c r="B190" s="395" t="s">
        <v>339</v>
      </c>
      <c r="C190" s="398">
        <v>280</v>
      </c>
      <c r="D190" s="399">
        <v>0</v>
      </c>
      <c r="E190" s="398">
        <f t="shared" si="2"/>
        <v>0</v>
      </c>
    </row>
    <row r="191" spans="1:5" ht="15.75" thickBot="1" x14ac:dyDescent="0.25">
      <c r="A191" s="394" t="s">
        <v>530</v>
      </c>
      <c r="B191" s="395" t="s">
        <v>339</v>
      </c>
      <c r="C191" s="398">
        <v>70</v>
      </c>
      <c r="D191" s="399">
        <v>0</v>
      </c>
      <c r="E191" s="398">
        <f t="shared" si="2"/>
        <v>0</v>
      </c>
    </row>
    <row r="192" spans="1:5" ht="15.75" thickBot="1" x14ac:dyDescent="0.25">
      <c r="A192" s="394" t="s">
        <v>531</v>
      </c>
      <c r="B192" s="395" t="s">
        <v>339</v>
      </c>
      <c r="C192" s="398">
        <v>400</v>
      </c>
      <c r="D192" s="399">
        <v>0</v>
      </c>
      <c r="E192" s="398">
        <f t="shared" si="2"/>
        <v>0</v>
      </c>
    </row>
    <row r="193" spans="1:5" ht="15.75" thickBot="1" x14ac:dyDescent="0.25">
      <c r="A193" s="394" t="s">
        <v>532</v>
      </c>
      <c r="B193" s="395" t="s">
        <v>341</v>
      </c>
      <c r="C193" s="398">
        <v>300</v>
      </c>
      <c r="D193" s="399">
        <v>0</v>
      </c>
      <c r="E193" s="398">
        <f t="shared" si="2"/>
        <v>0</v>
      </c>
    </row>
    <row r="194" spans="1:5" ht="15.75" thickBot="1" x14ac:dyDescent="0.25">
      <c r="A194" s="394" t="s">
        <v>533</v>
      </c>
      <c r="B194" s="395" t="s">
        <v>341</v>
      </c>
      <c r="C194" s="398">
        <v>5000</v>
      </c>
      <c r="D194" s="399">
        <v>0</v>
      </c>
      <c r="E194" s="398">
        <f t="shared" si="2"/>
        <v>0</v>
      </c>
    </row>
    <row r="195" spans="1:5" ht="15.75" thickBot="1" x14ac:dyDescent="0.25">
      <c r="A195" s="394" t="s">
        <v>534</v>
      </c>
      <c r="B195" s="395" t="s">
        <v>341</v>
      </c>
      <c r="C195" s="398">
        <v>30</v>
      </c>
      <c r="D195" s="399">
        <v>0</v>
      </c>
      <c r="E195" s="398">
        <f t="shared" si="2"/>
        <v>0</v>
      </c>
    </row>
    <row r="196" spans="1:5" ht="15.75" thickBot="1" x14ac:dyDescent="0.25">
      <c r="A196" s="394" t="s">
        <v>535</v>
      </c>
      <c r="B196" s="395" t="s">
        <v>341</v>
      </c>
      <c r="C196" s="398">
        <v>70</v>
      </c>
      <c r="D196" s="399">
        <v>0</v>
      </c>
      <c r="E196" s="398">
        <f t="shared" ref="E196:E259" si="3">PRODUCT(D196,C196)</f>
        <v>0</v>
      </c>
    </row>
    <row r="197" spans="1:5" ht="15.75" thickBot="1" x14ac:dyDescent="0.25">
      <c r="A197" s="394" t="s">
        <v>347</v>
      </c>
      <c r="B197" s="395" t="s">
        <v>536</v>
      </c>
      <c r="C197" s="398">
        <v>40</v>
      </c>
      <c r="D197" s="399">
        <v>0</v>
      </c>
      <c r="E197" s="398">
        <f t="shared" si="3"/>
        <v>0</v>
      </c>
    </row>
    <row r="198" spans="1:5" ht="15.75" thickBot="1" x14ac:dyDescent="0.25">
      <c r="A198" s="394" t="s">
        <v>537</v>
      </c>
      <c r="B198" s="395" t="s">
        <v>339</v>
      </c>
      <c r="C198" s="398">
        <v>50</v>
      </c>
      <c r="D198" s="399">
        <v>15</v>
      </c>
      <c r="E198" s="398">
        <f t="shared" si="3"/>
        <v>750</v>
      </c>
    </row>
    <row r="199" spans="1:5" ht="15.75" thickBot="1" x14ac:dyDescent="0.25">
      <c r="A199" s="394" t="s">
        <v>538</v>
      </c>
      <c r="B199" s="395" t="s">
        <v>339</v>
      </c>
      <c r="C199" s="398">
        <v>280</v>
      </c>
      <c r="D199" s="399">
        <v>0</v>
      </c>
      <c r="E199" s="398">
        <f t="shared" si="3"/>
        <v>0</v>
      </c>
    </row>
    <row r="200" spans="1:5" ht="15.75" thickBot="1" x14ac:dyDescent="0.25">
      <c r="A200" s="394" t="s">
        <v>539</v>
      </c>
      <c r="B200" s="395" t="s">
        <v>341</v>
      </c>
      <c r="C200" s="398">
        <v>2</v>
      </c>
      <c r="D200" s="399">
        <v>960</v>
      </c>
      <c r="E200" s="398">
        <f t="shared" si="3"/>
        <v>1920</v>
      </c>
    </row>
    <row r="201" spans="1:5" ht="15.75" thickBot="1" x14ac:dyDescent="0.25">
      <c r="A201" s="394" t="s">
        <v>540</v>
      </c>
      <c r="B201" s="395" t="s">
        <v>341</v>
      </c>
      <c r="C201" s="398">
        <v>2</v>
      </c>
      <c r="D201" s="399">
        <v>0</v>
      </c>
      <c r="E201" s="398">
        <f t="shared" si="3"/>
        <v>0</v>
      </c>
    </row>
    <row r="202" spans="1:5" ht="15.75" thickBot="1" x14ac:dyDescent="0.25">
      <c r="A202" s="394" t="s">
        <v>541</v>
      </c>
      <c r="B202" s="395" t="s">
        <v>199</v>
      </c>
      <c r="C202" s="398">
        <v>60</v>
      </c>
      <c r="D202" s="399">
        <v>0</v>
      </c>
      <c r="E202" s="398">
        <f t="shared" si="3"/>
        <v>0</v>
      </c>
    </row>
    <row r="203" spans="1:5" ht="15.75" thickBot="1" x14ac:dyDescent="0.25">
      <c r="A203" s="394" t="s">
        <v>542</v>
      </c>
      <c r="B203" s="395" t="s">
        <v>199</v>
      </c>
      <c r="C203" s="398">
        <v>200</v>
      </c>
      <c r="D203" s="399">
        <v>0</v>
      </c>
      <c r="E203" s="398">
        <f t="shared" si="3"/>
        <v>0</v>
      </c>
    </row>
    <row r="204" spans="1:5" ht="15.75" thickBot="1" x14ac:dyDescent="0.25">
      <c r="A204" s="394" t="s">
        <v>543</v>
      </c>
      <c r="B204" s="395" t="s">
        <v>199</v>
      </c>
      <c r="C204" s="398">
        <v>240</v>
      </c>
      <c r="D204" s="399">
        <v>0</v>
      </c>
      <c r="E204" s="398">
        <f t="shared" si="3"/>
        <v>0</v>
      </c>
    </row>
    <row r="205" spans="1:5" ht="16.5" thickBot="1" x14ac:dyDescent="0.25">
      <c r="A205" s="394" t="s">
        <v>544</v>
      </c>
      <c r="B205" s="395" t="s">
        <v>199</v>
      </c>
      <c r="C205" s="398">
        <v>240</v>
      </c>
      <c r="D205" s="399">
        <v>0</v>
      </c>
      <c r="E205" s="398">
        <f t="shared" si="3"/>
        <v>0</v>
      </c>
    </row>
    <row r="206" spans="1:5" ht="16.5" thickBot="1" x14ac:dyDescent="0.25">
      <c r="A206" s="394" t="s">
        <v>545</v>
      </c>
      <c r="B206" s="395" t="s">
        <v>199</v>
      </c>
      <c r="C206" s="398">
        <v>300</v>
      </c>
      <c r="D206" s="399">
        <v>0</v>
      </c>
      <c r="E206" s="398">
        <f t="shared" si="3"/>
        <v>0</v>
      </c>
    </row>
    <row r="207" spans="1:5" ht="15.75" thickBot="1" x14ac:dyDescent="0.25">
      <c r="A207" s="394" t="s">
        <v>546</v>
      </c>
      <c r="B207" s="395" t="s">
        <v>199</v>
      </c>
      <c r="C207" s="398">
        <v>360</v>
      </c>
      <c r="D207" s="399">
        <v>0</v>
      </c>
      <c r="E207" s="398">
        <f t="shared" si="3"/>
        <v>0</v>
      </c>
    </row>
    <row r="208" spans="1:5" ht="16.5" thickBot="1" x14ac:dyDescent="0.25">
      <c r="A208" s="394" t="s">
        <v>547</v>
      </c>
      <c r="B208" s="395" t="s">
        <v>199</v>
      </c>
      <c r="C208" s="398">
        <v>440</v>
      </c>
      <c r="D208" s="399">
        <v>0</v>
      </c>
      <c r="E208" s="398">
        <f t="shared" si="3"/>
        <v>0</v>
      </c>
    </row>
    <row r="209" spans="1:5" ht="15.75" thickBot="1" x14ac:dyDescent="0.25">
      <c r="A209" s="394" t="s">
        <v>548</v>
      </c>
      <c r="B209" s="395" t="s">
        <v>199</v>
      </c>
      <c r="C209" s="398">
        <v>260</v>
      </c>
      <c r="D209" s="399">
        <v>0</v>
      </c>
      <c r="E209" s="398">
        <f t="shared" si="3"/>
        <v>0</v>
      </c>
    </row>
    <row r="210" spans="1:5" ht="15.75" thickBot="1" x14ac:dyDescent="0.25">
      <c r="A210" s="394" t="s">
        <v>549</v>
      </c>
      <c r="B210" s="395" t="s">
        <v>199</v>
      </c>
      <c r="C210" s="398">
        <v>300</v>
      </c>
      <c r="D210" s="399">
        <v>0</v>
      </c>
      <c r="E210" s="398">
        <f t="shared" si="3"/>
        <v>0</v>
      </c>
    </row>
    <row r="211" spans="1:5" ht="15.75" thickBot="1" x14ac:dyDescent="0.25">
      <c r="A211" s="394" t="s">
        <v>550</v>
      </c>
      <c r="B211" s="395" t="s">
        <v>6</v>
      </c>
      <c r="C211" s="398">
        <v>200</v>
      </c>
      <c r="D211" s="399">
        <v>0</v>
      </c>
      <c r="E211" s="398">
        <f t="shared" si="3"/>
        <v>0</v>
      </c>
    </row>
    <row r="212" spans="1:5" ht="15.75" thickBot="1" x14ac:dyDescent="0.25">
      <c r="A212" s="394" t="s">
        <v>551</v>
      </c>
      <c r="B212" s="395" t="s">
        <v>199</v>
      </c>
      <c r="C212" s="398">
        <v>100</v>
      </c>
      <c r="D212" s="399">
        <v>10</v>
      </c>
      <c r="E212" s="398">
        <f t="shared" si="3"/>
        <v>1000</v>
      </c>
    </row>
    <row r="213" spans="1:5" ht="15.75" thickBot="1" x14ac:dyDescent="0.25">
      <c r="A213" s="394" t="s">
        <v>552</v>
      </c>
      <c r="B213" s="395" t="s">
        <v>199</v>
      </c>
      <c r="C213" s="398">
        <v>120</v>
      </c>
      <c r="D213" s="399">
        <v>0</v>
      </c>
      <c r="E213" s="398">
        <f t="shared" si="3"/>
        <v>0</v>
      </c>
    </row>
    <row r="214" spans="1:5" ht="16.5" thickBot="1" x14ac:dyDescent="0.25">
      <c r="A214" s="394" t="s">
        <v>553</v>
      </c>
      <c r="B214" s="395" t="s">
        <v>199</v>
      </c>
      <c r="C214" s="398">
        <v>120</v>
      </c>
      <c r="D214" s="399">
        <v>0</v>
      </c>
      <c r="E214" s="398">
        <f t="shared" si="3"/>
        <v>0</v>
      </c>
    </row>
    <row r="215" spans="1:5" ht="16.5" thickBot="1" x14ac:dyDescent="0.25">
      <c r="A215" s="394" t="s">
        <v>554</v>
      </c>
      <c r="B215" s="395" t="s">
        <v>199</v>
      </c>
      <c r="C215" s="398">
        <v>140</v>
      </c>
      <c r="D215" s="399">
        <v>0</v>
      </c>
      <c r="E215" s="398">
        <f t="shared" si="3"/>
        <v>0</v>
      </c>
    </row>
    <row r="216" spans="1:5" ht="16.5" thickBot="1" x14ac:dyDescent="0.25">
      <c r="A216" s="394" t="s">
        <v>555</v>
      </c>
      <c r="B216" s="395" t="s">
        <v>199</v>
      </c>
      <c r="C216" s="398">
        <v>180</v>
      </c>
      <c r="D216" s="399">
        <v>0</v>
      </c>
      <c r="E216" s="398">
        <f t="shared" si="3"/>
        <v>0</v>
      </c>
    </row>
    <row r="217" spans="1:5" ht="15.75" thickBot="1" x14ac:dyDescent="0.25">
      <c r="A217" s="394" t="s">
        <v>556</v>
      </c>
      <c r="B217" s="395" t="s">
        <v>199</v>
      </c>
      <c r="C217" s="398">
        <v>100</v>
      </c>
      <c r="D217" s="399">
        <v>0</v>
      </c>
      <c r="E217" s="398">
        <f t="shared" si="3"/>
        <v>0</v>
      </c>
    </row>
    <row r="218" spans="1:5" ht="15.75" thickBot="1" x14ac:dyDescent="0.25">
      <c r="A218" s="394" t="s">
        <v>557</v>
      </c>
      <c r="B218" s="395" t="s">
        <v>199</v>
      </c>
      <c r="C218" s="398">
        <v>150</v>
      </c>
      <c r="D218" s="399">
        <v>0</v>
      </c>
      <c r="E218" s="398">
        <f t="shared" si="3"/>
        <v>0</v>
      </c>
    </row>
    <row r="219" spans="1:5" ht="15.75" thickBot="1" x14ac:dyDescent="0.25">
      <c r="A219" s="394" t="s">
        <v>558</v>
      </c>
      <c r="B219" s="395" t="s">
        <v>444</v>
      </c>
      <c r="C219" s="398">
        <v>160</v>
      </c>
      <c r="D219" s="399">
        <v>0</v>
      </c>
      <c r="E219" s="398">
        <f t="shared" si="3"/>
        <v>0</v>
      </c>
    </row>
    <row r="220" spans="1:5" ht="15.75" thickBot="1" x14ac:dyDescent="0.25">
      <c r="A220" s="394" t="s">
        <v>559</v>
      </c>
      <c r="B220" s="395" t="s">
        <v>199</v>
      </c>
      <c r="C220" s="398">
        <v>120</v>
      </c>
      <c r="D220" s="399">
        <v>0</v>
      </c>
      <c r="E220" s="398">
        <f t="shared" si="3"/>
        <v>0</v>
      </c>
    </row>
    <row r="221" spans="1:5" ht="15.75" thickBot="1" x14ac:dyDescent="0.25">
      <c r="A221" s="394" t="s">
        <v>560</v>
      </c>
      <c r="B221" s="395" t="s">
        <v>199</v>
      </c>
      <c r="C221" s="398">
        <v>140</v>
      </c>
      <c r="D221" s="399">
        <v>0</v>
      </c>
      <c r="E221" s="398">
        <f t="shared" si="3"/>
        <v>0</v>
      </c>
    </row>
    <row r="222" spans="1:5" ht="15.75" thickBot="1" x14ac:dyDescent="0.25">
      <c r="A222" s="394" t="s">
        <v>561</v>
      </c>
      <c r="B222" s="395" t="s">
        <v>199</v>
      </c>
      <c r="C222" s="398">
        <v>240</v>
      </c>
      <c r="D222" s="399">
        <v>0</v>
      </c>
      <c r="E222" s="398">
        <f t="shared" si="3"/>
        <v>0</v>
      </c>
    </row>
    <row r="223" spans="1:5" ht="15.75" thickBot="1" x14ac:dyDescent="0.25">
      <c r="A223" s="394" t="s">
        <v>562</v>
      </c>
      <c r="B223" s="395" t="s">
        <v>199</v>
      </c>
      <c r="C223" s="398">
        <v>260</v>
      </c>
      <c r="D223" s="399">
        <v>0</v>
      </c>
      <c r="E223" s="398">
        <f t="shared" si="3"/>
        <v>0</v>
      </c>
    </row>
    <row r="224" spans="1:5" ht="15.75" thickBot="1" x14ac:dyDescent="0.25">
      <c r="A224" s="394" t="s">
        <v>563</v>
      </c>
      <c r="B224" s="395" t="s">
        <v>199</v>
      </c>
      <c r="C224" s="398">
        <v>240</v>
      </c>
      <c r="D224" s="399">
        <v>0</v>
      </c>
      <c r="E224" s="398">
        <f t="shared" si="3"/>
        <v>0</v>
      </c>
    </row>
    <row r="225" spans="1:5" ht="15.75" thickBot="1" x14ac:dyDescent="0.25">
      <c r="A225" s="394" t="s">
        <v>564</v>
      </c>
      <c r="B225" s="395" t="s">
        <v>444</v>
      </c>
      <c r="C225" s="398">
        <v>60</v>
      </c>
      <c r="D225" s="399">
        <v>0</v>
      </c>
      <c r="E225" s="398">
        <f t="shared" si="3"/>
        <v>0</v>
      </c>
    </row>
    <row r="226" spans="1:5" ht="15.75" thickBot="1" x14ac:dyDescent="0.25">
      <c r="A226" s="394" t="s">
        <v>565</v>
      </c>
      <c r="B226" s="395" t="s">
        <v>199</v>
      </c>
      <c r="C226" s="398">
        <v>180</v>
      </c>
      <c r="D226" s="399">
        <v>0</v>
      </c>
      <c r="E226" s="398">
        <f t="shared" si="3"/>
        <v>0</v>
      </c>
    </row>
    <row r="227" spans="1:5" ht="15.75" thickBot="1" x14ac:dyDescent="0.25">
      <c r="A227" s="394" t="s">
        <v>566</v>
      </c>
      <c r="B227" s="395" t="s">
        <v>199</v>
      </c>
      <c r="C227" s="398">
        <v>200</v>
      </c>
      <c r="D227" s="399">
        <v>0</v>
      </c>
      <c r="E227" s="398">
        <f t="shared" si="3"/>
        <v>0</v>
      </c>
    </row>
    <row r="228" spans="1:5" ht="15.75" thickBot="1" x14ac:dyDescent="0.25">
      <c r="A228" s="394" t="s">
        <v>567</v>
      </c>
      <c r="B228" s="395" t="s">
        <v>199</v>
      </c>
      <c r="C228" s="398">
        <v>440</v>
      </c>
      <c r="D228" s="399">
        <v>0</v>
      </c>
      <c r="E228" s="398">
        <f t="shared" si="3"/>
        <v>0</v>
      </c>
    </row>
    <row r="229" spans="1:5" ht="15.75" thickBot="1" x14ac:dyDescent="0.25">
      <c r="A229" s="394" t="s">
        <v>568</v>
      </c>
      <c r="B229" s="395" t="s">
        <v>199</v>
      </c>
      <c r="C229" s="398">
        <v>400</v>
      </c>
      <c r="D229" s="399">
        <v>0</v>
      </c>
      <c r="E229" s="398">
        <f t="shared" si="3"/>
        <v>0</v>
      </c>
    </row>
    <row r="230" spans="1:5" ht="15.75" thickBot="1" x14ac:dyDescent="0.25">
      <c r="A230" s="394" t="s">
        <v>569</v>
      </c>
      <c r="B230" s="395" t="s">
        <v>199</v>
      </c>
      <c r="C230" s="398">
        <v>440</v>
      </c>
      <c r="D230" s="399">
        <v>0</v>
      </c>
      <c r="E230" s="398">
        <f t="shared" si="3"/>
        <v>0</v>
      </c>
    </row>
    <row r="231" spans="1:5" ht="15.75" thickBot="1" x14ac:dyDescent="0.25">
      <c r="A231" s="394" t="s">
        <v>570</v>
      </c>
      <c r="B231" s="395" t="s">
        <v>444</v>
      </c>
      <c r="C231" s="398">
        <v>100</v>
      </c>
      <c r="D231" s="399">
        <v>0</v>
      </c>
      <c r="E231" s="398">
        <f t="shared" si="3"/>
        <v>0</v>
      </c>
    </row>
    <row r="232" spans="1:5" s="402" customFormat="1" ht="16.5" thickBot="1" x14ac:dyDescent="0.25">
      <c r="A232" s="439" t="s">
        <v>371</v>
      </c>
      <c r="B232" s="440"/>
      <c r="C232" s="440"/>
      <c r="D232" s="441"/>
      <c r="E232" s="401">
        <f>SUM(E188:E231)</f>
        <v>3670</v>
      </c>
    </row>
    <row r="233" spans="1:5" ht="16.5" thickBot="1" x14ac:dyDescent="0.25">
      <c r="A233" s="436" t="s">
        <v>571</v>
      </c>
      <c r="B233" s="437"/>
      <c r="C233" s="437"/>
      <c r="D233" s="437"/>
      <c r="E233" s="438"/>
    </row>
    <row r="234" spans="1:5" ht="15.75" thickBot="1" x14ac:dyDescent="0.25">
      <c r="A234" s="394" t="s">
        <v>572</v>
      </c>
      <c r="B234" s="395" t="s">
        <v>341</v>
      </c>
      <c r="C234" s="396">
        <v>80</v>
      </c>
      <c r="D234" s="397">
        <v>5</v>
      </c>
      <c r="E234" s="396">
        <f t="shared" si="3"/>
        <v>400</v>
      </c>
    </row>
    <row r="235" spans="1:5" ht="15.75" thickBot="1" x14ac:dyDescent="0.25">
      <c r="A235" s="394" t="s">
        <v>573</v>
      </c>
      <c r="B235" s="395" t="s">
        <v>341</v>
      </c>
      <c r="C235" s="398">
        <v>160</v>
      </c>
      <c r="D235" s="399">
        <v>0</v>
      </c>
      <c r="E235" s="398">
        <f t="shared" si="3"/>
        <v>0</v>
      </c>
    </row>
    <row r="236" spans="1:5" ht="15.75" thickBot="1" x14ac:dyDescent="0.25">
      <c r="A236" s="394" t="s">
        <v>574</v>
      </c>
      <c r="B236" s="395" t="s">
        <v>341</v>
      </c>
      <c r="C236" s="398">
        <v>300</v>
      </c>
      <c r="D236" s="399">
        <v>0</v>
      </c>
      <c r="E236" s="398">
        <f t="shared" si="3"/>
        <v>0</v>
      </c>
    </row>
    <row r="237" spans="1:5" ht="15.75" thickBot="1" x14ac:dyDescent="0.25">
      <c r="A237" s="394" t="s">
        <v>575</v>
      </c>
      <c r="B237" s="395" t="s">
        <v>341</v>
      </c>
      <c r="C237" s="398">
        <v>300</v>
      </c>
      <c r="D237" s="399">
        <v>0</v>
      </c>
      <c r="E237" s="398">
        <f t="shared" si="3"/>
        <v>0</v>
      </c>
    </row>
    <row r="238" spans="1:5" ht="15.75" thickBot="1" x14ac:dyDescent="0.25">
      <c r="A238" s="394" t="s">
        <v>576</v>
      </c>
      <c r="B238" s="395" t="s">
        <v>341</v>
      </c>
      <c r="C238" s="398">
        <v>16</v>
      </c>
      <c r="D238" s="399">
        <v>0</v>
      </c>
      <c r="E238" s="398">
        <f t="shared" si="3"/>
        <v>0</v>
      </c>
    </row>
    <row r="239" spans="1:5" ht="15.75" thickBot="1" x14ac:dyDescent="0.25">
      <c r="A239" s="394" t="s">
        <v>577</v>
      </c>
      <c r="B239" s="395" t="s">
        <v>341</v>
      </c>
      <c r="C239" s="398">
        <v>30</v>
      </c>
      <c r="D239" s="399">
        <v>0</v>
      </c>
      <c r="E239" s="398">
        <f t="shared" si="3"/>
        <v>0</v>
      </c>
    </row>
    <row r="240" spans="1:5" ht="15.75" thickBot="1" x14ac:dyDescent="0.25">
      <c r="A240" s="394" t="s">
        <v>578</v>
      </c>
      <c r="B240" s="395" t="s">
        <v>341</v>
      </c>
      <c r="C240" s="398">
        <v>30</v>
      </c>
      <c r="D240" s="399">
        <v>5</v>
      </c>
      <c r="E240" s="398">
        <f t="shared" si="3"/>
        <v>150</v>
      </c>
    </row>
    <row r="241" spans="1:5" ht="15.75" thickBot="1" x14ac:dyDescent="0.25">
      <c r="A241" s="394" t="s">
        <v>579</v>
      </c>
      <c r="B241" s="395" t="s">
        <v>431</v>
      </c>
      <c r="C241" s="398">
        <v>120</v>
      </c>
      <c r="D241" s="399">
        <v>0</v>
      </c>
      <c r="E241" s="398">
        <f t="shared" si="3"/>
        <v>0</v>
      </c>
    </row>
    <row r="242" spans="1:5" ht="15.75" thickBot="1" x14ac:dyDescent="0.25">
      <c r="A242" s="394" t="s">
        <v>580</v>
      </c>
      <c r="B242" s="395" t="s">
        <v>431</v>
      </c>
      <c r="C242" s="398">
        <v>100</v>
      </c>
      <c r="D242" s="399">
        <v>0</v>
      </c>
      <c r="E242" s="398">
        <f t="shared" si="3"/>
        <v>0</v>
      </c>
    </row>
    <row r="243" spans="1:5" ht="15.75" thickBot="1" x14ac:dyDescent="0.25">
      <c r="A243" s="394" t="s">
        <v>581</v>
      </c>
      <c r="B243" s="395" t="s">
        <v>431</v>
      </c>
      <c r="C243" s="398">
        <v>100</v>
      </c>
      <c r="D243" s="399">
        <v>3</v>
      </c>
      <c r="E243" s="398">
        <f t="shared" si="3"/>
        <v>300</v>
      </c>
    </row>
    <row r="244" spans="1:5" ht="15.75" thickBot="1" x14ac:dyDescent="0.25">
      <c r="A244" s="394" t="s">
        <v>582</v>
      </c>
      <c r="B244" s="395" t="s">
        <v>431</v>
      </c>
      <c r="C244" s="398">
        <v>100</v>
      </c>
      <c r="D244" s="399">
        <v>13</v>
      </c>
      <c r="E244" s="398">
        <f t="shared" si="3"/>
        <v>1300</v>
      </c>
    </row>
    <row r="245" spans="1:5" ht="15.75" thickBot="1" x14ac:dyDescent="0.25">
      <c r="A245" s="394" t="s">
        <v>583</v>
      </c>
      <c r="B245" s="395" t="s">
        <v>431</v>
      </c>
      <c r="C245" s="398">
        <v>34</v>
      </c>
      <c r="D245" s="399">
        <v>0</v>
      </c>
      <c r="E245" s="398">
        <f t="shared" si="3"/>
        <v>0</v>
      </c>
    </row>
    <row r="246" spans="1:5" ht="15.75" thickBot="1" x14ac:dyDescent="0.25">
      <c r="A246" s="394" t="s">
        <v>584</v>
      </c>
      <c r="B246" s="395" t="s">
        <v>341</v>
      </c>
      <c r="C246" s="398">
        <v>40</v>
      </c>
      <c r="D246" s="399">
        <v>30</v>
      </c>
      <c r="E246" s="398">
        <f t="shared" si="3"/>
        <v>1200</v>
      </c>
    </row>
    <row r="247" spans="1:5" ht="15.75" thickBot="1" x14ac:dyDescent="0.25">
      <c r="A247" s="394" t="s">
        <v>585</v>
      </c>
      <c r="B247" s="395" t="s">
        <v>341</v>
      </c>
      <c r="C247" s="398">
        <v>40</v>
      </c>
      <c r="D247" s="399">
        <v>3</v>
      </c>
      <c r="E247" s="398">
        <f t="shared" si="3"/>
        <v>120</v>
      </c>
    </row>
    <row r="248" spans="1:5" ht="15.75" thickBot="1" x14ac:dyDescent="0.25">
      <c r="A248" s="394" t="s">
        <v>586</v>
      </c>
      <c r="B248" s="395" t="s">
        <v>341</v>
      </c>
      <c r="C248" s="398">
        <v>5000</v>
      </c>
      <c r="D248" s="399">
        <v>1</v>
      </c>
      <c r="E248" s="398">
        <f t="shared" si="3"/>
        <v>5000</v>
      </c>
    </row>
    <row r="249" spans="1:5" ht="15.75" thickBot="1" x14ac:dyDescent="0.25">
      <c r="A249" s="394" t="s">
        <v>587</v>
      </c>
      <c r="B249" s="395" t="s">
        <v>341</v>
      </c>
      <c r="C249" s="398">
        <v>20</v>
      </c>
      <c r="D249" s="399">
        <v>3</v>
      </c>
      <c r="E249" s="398">
        <f t="shared" si="3"/>
        <v>60</v>
      </c>
    </row>
    <row r="250" spans="1:5" ht="15.75" thickBot="1" x14ac:dyDescent="0.25">
      <c r="A250" s="394" t="s">
        <v>588</v>
      </c>
      <c r="B250" s="395" t="s">
        <v>341</v>
      </c>
      <c r="C250" s="398">
        <v>10</v>
      </c>
      <c r="D250" s="399">
        <v>0</v>
      </c>
      <c r="E250" s="398">
        <f t="shared" si="3"/>
        <v>0</v>
      </c>
    </row>
    <row r="251" spans="1:5" ht="15.75" thickBot="1" x14ac:dyDescent="0.25">
      <c r="A251" s="394" t="s">
        <v>589</v>
      </c>
      <c r="B251" s="395" t="s">
        <v>536</v>
      </c>
      <c r="C251" s="398">
        <v>70</v>
      </c>
      <c r="D251" s="399">
        <v>0</v>
      </c>
      <c r="E251" s="398">
        <f t="shared" si="3"/>
        <v>0</v>
      </c>
    </row>
    <row r="252" spans="1:5" ht="15.75" thickBot="1" x14ac:dyDescent="0.25">
      <c r="A252" s="394" t="s">
        <v>590</v>
      </c>
      <c r="B252" s="395" t="s">
        <v>536</v>
      </c>
      <c r="C252" s="398">
        <v>30</v>
      </c>
      <c r="D252" s="399">
        <v>15</v>
      </c>
      <c r="E252" s="398">
        <f t="shared" si="3"/>
        <v>450</v>
      </c>
    </row>
    <row r="253" spans="1:5" ht="15.75" thickBot="1" x14ac:dyDescent="0.25">
      <c r="A253" s="394" t="s">
        <v>591</v>
      </c>
      <c r="B253" s="395" t="s">
        <v>341</v>
      </c>
      <c r="C253" s="398">
        <v>50</v>
      </c>
      <c r="D253" s="399">
        <v>2</v>
      </c>
      <c r="E253" s="398">
        <f t="shared" si="3"/>
        <v>100</v>
      </c>
    </row>
    <row r="254" spans="1:5" ht="15.75" thickBot="1" x14ac:dyDescent="0.25">
      <c r="A254" s="394" t="s">
        <v>347</v>
      </c>
      <c r="B254" s="395" t="s">
        <v>536</v>
      </c>
      <c r="C254" s="398">
        <v>40</v>
      </c>
      <c r="D254" s="399">
        <v>15</v>
      </c>
      <c r="E254" s="398">
        <f t="shared" si="3"/>
        <v>600</v>
      </c>
    </row>
    <row r="255" spans="1:5" ht="15.75" thickBot="1" x14ac:dyDescent="0.25">
      <c r="A255" s="394" t="s">
        <v>592</v>
      </c>
      <c r="B255" s="395" t="s">
        <v>444</v>
      </c>
      <c r="C255" s="398">
        <v>6</v>
      </c>
      <c r="D255" s="399">
        <v>30</v>
      </c>
      <c r="E255" s="398">
        <f t="shared" si="3"/>
        <v>180</v>
      </c>
    </row>
    <row r="256" spans="1:5" ht="15.75" thickBot="1" x14ac:dyDescent="0.25">
      <c r="A256" s="394" t="s">
        <v>593</v>
      </c>
      <c r="B256" s="395" t="s">
        <v>6</v>
      </c>
      <c r="C256" s="398">
        <v>100</v>
      </c>
      <c r="D256" s="399">
        <v>2</v>
      </c>
      <c r="E256" s="398">
        <f t="shared" si="3"/>
        <v>200</v>
      </c>
    </row>
    <row r="257" spans="1:5" ht="15.75" thickBot="1" x14ac:dyDescent="0.25">
      <c r="A257" s="394" t="s">
        <v>594</v>
      </c>
      <c r="B257" s="395" t="s">
        <v>6</v>
      </c>
      <c r="C257" s="398">
        <v>70</v>
      </c>
      <c r="D257" s="399">
        <v>4</v>
      </c>
      <c r="E257" s="398">
        <f t="shared" si="3"/>
        <v>280</v>
      </c>
    </row>
    <row r="258" spans="1:5" ht="15.75" thickBot="1" x14ac:dyDescent="0.25">
      <c r="A258" s="394" t="s">
        <v>595</v>
      </c>
      <c r="B258" s="395" t="s">
        <v>6</v>
      </c>
      <c r="C258" s="398">
        <v>12</v>
      </c>
      <c r="D258" s="399">
        <v>0</v>
      </c>
      <c r="E258" s="398">
        <f t="shared" si="3"/>
        <v>0</v>
      </c>
    </row>
    <row r="259" spans="1:5" ht="15.75" thickBot="1" x14ac:dyDescent="0.25">
      <c r="A259" s="394" t="s">
        <v>596</v>
      </c>
      <c r="B259" s="395" t="s">
        <v>444</v>
      </c>
      <c r="C259" s="398">
        <v>14</v>
      </c>
      <c r="D259" s="399">
        <v>0</v>
      </c>
      <c r="E259" s="398">
        <f t="shared" si="3"/>
        <v>0</v>
      </c>
    </row>
    <row r="260" spans="1:5" ht="15.75" thickBot="1" x14ac:dyDescent="0.25">
      <c r="A260" s="394" t="s">
        <v>597</v>
      </c>
      <c r="B260" s="395" t="s">
        <v>444</v>
      </c>
      <c r="C260" s="398">
        <v>12</v>
      </c>
      <c r="D260" s="399">
        <v>0</v>
      </c>
      <c r="E260" s="398">
        <f t="shared" ref="E260:E323" si="4">PRODUCT(D260,C260)</f>
        <v>0</v>
      </c>
    </row>
    <row r="261" spans="1:5" ht="15.75" thickBot="1" x14ac:dyDescent="0.25">
      <c r="A261" s="394" t="s">
        <v>598</v>
      </c>
      <c r="B261" s="395" t="s">
        <v>6</v>
      </c>
      <c r="C261" s="398">
        <v>90</v>
      </c>
      <c r="D261" s="399">
        <v>0</v>
      </c>
      <c r="E261" s="398">
        <f t="shared" si="4"/>
        <v>0</v>
      </c>
    </row>
    <row r="262" spans="1:5" ht="15.75" thickBot="1" x14ac:dyDescent="0.25">
      <c r="A262" s="394" t="s">
        <v>599</v>
      </c>
      <c r="B262" s="395" t="s">
        <v>6</v>
      </c>
      <c r="C262" s="398">
        <v>500</v>
      </c>
      <c r="D262" s="399">
        <v>0</v>
      </c>
      <c r="E262" s="398">
        <f t="shared" si="4"/>
        <v>0</v>
      </c>
    </row>
    <row r="263" spans="1:5" ht="15.75" thickBot="1" x14ac:dyDescent="0.25">
      <c r="A263" s="394" t="s">
        <v>600</v>
      </c>
      <c r="B263" s="395" t="s">
        <v>444</v>
      </c>
      <c r="C263" s="398">
        <v>180</v>
      </c>
      <c r="D263" s="399">
        <v>0</v>
      </c>
      <c r="E263" s="398">
        <f t="shared" si="4"/>
        <v>0</v>
      </c>
    </row>
    <row r="264" spans="1:5" ht="15.75" thickBot="1" x14ac:dyDescent="0.25">
      <c r="A264" s="394" t="s">
        <v>601</v>
      </c>
      <c r="B264" s="395" t="s">
        <v>444</v>
      </c>
      <c r="C264" s="398">
        <v>100</v>
      </c>
      <c r="D264" s="399">
        <v>0</v>
      </c>
      <c r="E264" s="398">
        <f t="shared" si="4"/>
        <v>0</v>
      </c>
    </row>
    <row r="265" spans="1:5" ht="15.75" thickBot="1" x14ac:dyDescent="0.25">
      <c r="A265" s="394" t="s">
        <v>347</v>
      </c>
      <c r="B265" s="395" t="s">
        <v>444</v>
      </c>
      <c r="C265" s="398">
        <v>100</v>
      </c>
      <c r="D265" s="399">
        <v>0</v>
      </c>
      <c r="E265" s="398">
        <f t="shared" si="4"/>
        <v>0</v>
      </c>
    </row>
    <row r="266" spans="1:5" ht="15.75" thickBot="1" x14ac:dyDescent="0.25">
      <c r="A266" s="394" t="s">
        <v>602</v>
      </c>
      <c r="B266" s="395" t="s">
        <v>444</v>
      </c>
      <c r="C266" s="398">
        <v>70</v>
      </c>
      <c r="D266" s="399">
        <v>0</v>
      </c>
      <c r="E266" s="398">
        <f t="shared" si="4"/>
        <v>0</v>
      </c>
    </row>
    <row r="267" spans="1:5" ht="15.75" thickBot="1" x14ac:dyDescent="0.25">
      <c r="A267" s="394" t="s">
        <v>603</v>
      </c>
      <c r="B267" s="395" t="s">
        <v>6</v>
      </c>
      <c r="C267" s="398">
        <v>100</v>
      </c>
      <c r="D267" s="399">
        <v>0</v>
      </c>
      <c r="E267" s="398">
        <f t="shared" si="4"/>
        <v>0</v>
      </c>
    </row>
    <row r="268" spans="1:5" ht="15.75" thickBot="1" x14ac:dyDescent="0.25">
      <c r="A268" s="394" t="s">
        <v>604</v>
      </c>
      <c r="B268" s="395" t="s">
        <v>6</v>
      </c>
      <c r="C268" s="398">
        <v>150</v>
      </c>
      <c r="D268" s="399">
        <v>0</v>
      </c>
      <c r="E268" s="398">
        <f t="shared" si="4"/>
        <v>0</v>
      </c>
    </row>
    <row r="269" spans="1:5" ht="15.75" thickBot="1" x14ac:dyDescent="0.25">
      <c r="A269" s="394" t="s">
        <v>605</v>
      </c>
      <c r="B269" s="395" t="s">
        <v>6</v>
      </c>
      <c r="C269" s="398">
        <v>180</v>
      </c>
      <c r="D269" s="399">
        <v>0</v>
      </c>
      <c r="E269" s="398">
        <f t="shared" si="4"/>
        <v>0</v>
      </c>
    </row>
    <row r="270" spans="1:5" ht="15.75" thickBot="1" x14ac:dyDescent="0.25">
      <c r="A270" s="394" t="s">
        <v>606</v>
      </c>
      <c r="B270" s="395" t="s">
        <v>6</v>
      </c>
      <c r="C270" s="398">
        <v>80</v>
      </c>
      <c r="D270" s="399">
        <v>0</v>
      </c>
      <c r="E270" s="398">
        <f t="shared" si="4"/>
        <v>0</v>
      </c>
    </row>
    <row r="271" spans="1:5" ht="15.75" thickBot="1" x14ac:dyDescent="0.25">
      <c r="A271" s="394" t="s">
        <v>607</v>
      </c>
      <c r="B271" s="395" t="s">
        <v>6</v>
      </c>
      <c r="C271" s="398">
        <v>110</v>
      </c>
      <c r="D271" s="399">
        <v>0</v>
      </c>
      <c r="E271" s="398">
        <f t="shared" si="4"/>
        <v>0</v>
      </c>
    </row>
    <row r="272" spans="1:5" ht="15.75" thickBot="1" x14ac:dyDescent="0.25">
      <c r="A272" s="394" t="s">
        <v>608</v>
      </c>
      <c r="B272" s="395" t="s">
        <v>444</v>
      </c>
      <c r="C272" s="398">
        <v>60</v>
      </c>
      <c r="D272" s="399">
        <v>0</v>
      </c>
      <c r="E272" s="398">
        <f t="shared" si="4"/>
        <v>0</v>
      </c>
    </row>
    <row r="273" spans="1:5" ht="15.75" thickBot="1" x14ac:dyDescent="0.25">
      <c r="A273" s="394" t="s">
        <v>609</v>
      </c>
      <c r="B273" s="395" t="s">
        <v>6</v>
      </c>
      <c r="C273" s="398">
        <v>70</v>
      </c>
      <c r="D273" s="399">
        <v>18</v>
      </c>
      <c r="E273" s="398">
        <f t="shared" si="4"/>
        <v>1260</v>
      </c>
    </row>
    <row r="274" spans="1:5" ht="15.75" thickBot="1" x14ac:dyDescent="0.25">
      <c r="A274" s="394" t="s">
        <v>610</v>
      </c>
      <c r="B274" s="395" t="s">
        <v>444</v>
      </c>
      <c r="C274" s="398">
        <v>24</v>
      </c>
      <c r="D274" s="399">
        <v>55</v>
      </c>
      <c r="E274" s="398">
        <f t="shared" si="4"/>
        <v>1320</v>
      </c>
    </row>
    <row r="275" spans="1:5" ht="15.75" thickBot="1" x14ac:dyDescent="0.25">
      <c r="A275" s="394" t="s">
        <v>611</v>
      </c>
      <c r="B275" s="395" t="s">
        <v>444</v>
      </c>
      <c r="C275" s="398">
        <v>30</v>
      </c>
      <c r="D275" s="399">
        <v>0</v>
      </c>
      <c r="E275" s="398">
        <f t="shared" si="4"/>
        <v>0</v>
      </c>
    </row>
    <row r="276" spans="1:5" ht="15.75" thickBot="1" x14ac:dyDescent="0.25">
      <c r="A276" s="394" t="s">
        <v>612</v>
      </c>
      <c r="B276" s="395" t="s">
        <v>444</v>
      </c>
      <c r="C276" s="398">
        <v>24</v>
      </c>
      <c r="D276" s="399">
        <v>0</v>
      </c>
      <c r="E276" s="398">
        <f t="shared" si="4"/>
        <v>0</v>
      </c>
    </row>
    <row r="277" spans="1:5" ht="15.75" thickBot="1" x14ac:dyDescent="0.25">
      <c r="A277" s="394" t="s">
        <v>613</v>
      </c>
      <c r="B277" s="395" t="s">
        <v>444</v>
      </c>
      <c r="C277" s="398">
        <v>20</v>
      </c>
      <c r="D277" s="399">
        <v>0</v>
      </c>
      <c r="E277" s="398">
        <f t="shared" si="4"/>
        <v>0</v>
      </c>
    </row>
    <row r="278" spans="1:5" ht="15.75" thickBot="1" x14ac:dyDescent="0.25">
      <c r="A278" s="394" t="s">
        <v>614</v>
      </c>
      <c r="B278" s="395" t="s">
        <v>444</v>
      </c>
      <c r="C278" s="398">
        <v>30</v>
      </c>
      <c r="D278" s="399">
        <v>0</v>
      </c>
      <c r="E278" s="398">
        <f t="shared" si="4"/>
        <v>0</v>
      </c>
    </row>
    <row r="279" spans="1:5" ht="15.75" thickBot="1" x14ac:dyDescent="0.25">
      <c r="A279" s="394" t="s">
        <v>615</v>
      </c>
      <c r="B279" s="395" t="s">
        <v>444</v>
      </c>
      <c r="C279" s="398">
        <v>40</v>
      </c>
      <c r="D279" s="399">
        <v>0</v>
      </c>
      <c r="E279" s="398">
        <f t="shared" si="4"/>
        <v>0</v>
      </c>
    </row>
    <row r="280" spans="1:5" ht="15.75" thickBot="1" x14ac:dyDescent="0.25">
      <c r="A280" s="394" t="s">
        <v>616</v>
      </c>
      <c r="B280" s="395" t="s">
        <v>444</v>
      </c>
      <c r="C280" s="398">
        <v>30</v>
      </c>
      <c r="D280" s="399">
        <v>0</v>
      </c>
      <c r="E280" s="398">
        <f t="shared" si="4"/>
        <v>0</v>
      </c>
    </row>
    <row r="281" spans="1:5" ht="15.75" thickBot="1" x14ac:dyDescent="0.25">
      <c r="A281" s="394" t="s">
        <v>617</v>
      </c>
      <c r="B281" s="395" t="s">
        <v>444</v>
      </c>
      <c r="C281" s="398">
        <v>24</v>
      </c>
      <c r="D281" s="399">
        <v>0</v>
      </c>
      <c r="E281" s="398">
        <f t="shared" si="4"/>
        <v>0</v>
      </c>
    </row>
    <row r="282" spans="1:5" ht="15.75" thickBot="1" x14ac:dyDescent="0.25">
      <c r="A282" s="394" t="s">
        <v>618</v>
      </c>
      <c r="B282" s="395" t="s">
        <v>444</v>
      </c>
      <c r="C282" s="398">
        <v>30</v>
      </c>
      <c r="D282" s="399">
        <v>15</v>
      </c>
      <c r="E282" s="398">
        <f t="shared" si="4"/>
        <v>450</v>
      </c>
    </row>
    <row r="283" spans="1:5" ht="15.75" thickBot="1" x14ac:dyDescent="0.25">
      <c r="A283" s="394" t="s">
        <v>619</v>
      </c>
      <c r="B283" s="395" t="s">
        <v>444</v>
      </c>
      <c r="C283" s="398">
        <v>40</v>
      </c>
      <c r="D283" s="399">
        <v>15</v>
      </c>
      <c r="E283" s="398">
        <f t="shared" si="4"/>
        <v>600</v>
      </c>
    </row>
    <row r="284" spans="1:5" ht="15.75" thickBot="1" x14ac:dyDescent="0.25">
      <c r="A284" s="394" t="s">
        <v>620</v>
      </c>
      <c r="B284" s="395" t="s">
        <v>6</v>
      </c>
      <c r="C284" s="398">
        <v>24</v>
      </c>
      <c r="D284" s="399">
        <v>0</v>
      </c>
      <c r="E284" s="398">
        <f t="shared" si="4"/>
        <v>0</v>
      </c>
    </row>
    <row r="285" spans="1:5" ht="15.75" thickBot="1" x14ac:dyDescent="0.25">
      <c r="A285" s="394" t="s">
        <v>621</v>
      </c>
      <c r="B285" s="395" t="s">
        <v>6</v>
      </c>
      <c r="C285" s="398">
        <v>30</v>
      </c>
      <c r="D285" s="399">
        <v>8</v>
      </c>
      <c r="E285" s="398">
        <f t="shared" si="4"/>
        <v>240</v>
      </c>
    </row>
    <row r="286" spans="1:5" ht="15.75" thickBot="1" x14ac:dyDescent="0.25">
      <c r="A286" s="394" t="s">
        <v>622</v>
      </c>
      <c r="B286" s="395" t="s">
        <v>444</v>
      </c>
      <c r="C286" s="398">
        <v>24</v>
      </c>
      <c r="D286" s="399">
        <v>0</v>
      </c>
      <c r="E286" s="398">
        <f t="shared" si="4"/>
        <v>0</v>
      </c>
    </row>
    <row r="287" spans="1:5" ht="15.75" thickBot="1" x14ac:dyDescent="0.25">
      <c r="A287" s="394" t="s">
        <v>623</v>
      </c>
      <c r="B287" s="395" t="s">
        <v>6</v>
      </c>
      <c r="C287" s="398">
        <v>60</v>
      </c>
      <c r="D287" s="399">
        <v>6</v>
      </c>
      <c r="E287" s="398">
        <f t="shared" si="4"/>
        <v>360</v>
      </c>
    </row>
    <row r="288" spans="1:5" ht="15.75" thickBot="1" x14ac:dyDescent="0.25">
      <c r="A288" s="394" t="s">
        <v>624</v>
      </c>
      <c r="B288" s="395" t="s">
        <v>6</v>
      </c>
      <c r="C288" s="398">
        <v>90</v>
      </c>
      <c r="D288" s="399">
        <v>1</v>
      </c>
      <c r="E288" s="398">
        <f t="shared" si="4"/>
        <v>90</v>
      </c>
    </row>
    <row r="289" spans="1:5" ht="15.75" thickBot="1" x14ac:dyDescent="0.25">
      <c r="A289" s="394" t="s">
        <v>625</v>
      </c>
      <c r="B289" s="395" t="s">
        <v>6</v>
      </c>
      <c r="C289" s="398">
        <v>100</v>
      </c>
      <c r="D289" s="399">
        <v>0</v>
      </c>
      <c r="E289" s="398">
        <f t="shared" si="4"/>
        <v>0</v>
      </c>
    </row>
    <row r="290" spans="1:5" ht="15.75" thickBot="1" x14ac:dyDescent="0.25">
      <c r="A290" s="394" t="s">
        <v>626</v>
      </c>
      <c r="B290" s="395" t="s">
        <v>6</v>
      </c>
      <c r="C290" s="398">
        <v>80</v>
      </c>
      <c r="D290" s="399">
        <v>0</v>
      </c>
      <c r="E290" s="398">
        <f t="shared" si="4"/>
        <v>0</v>
      </c>
    </row>
    <row r="291" spans="1:5" ht="15.75" thickBot="1" x14ac:dyDescent="0.25">
      <c r="A291" s="394" t="s">
        <v>627</v>
      </c>
      <c r="B291" s="395" t="s">
        <v>6</v>
      </c>
      <c r="C291" s="398">
        <v>100</v>
      </c>
      <c r="D291" s="399">
        <v>0</v>
      </c>
      <c r="E291" s="398">
        <f t="shared" si="4"/>
        <v>0</v>
      </c>
    </row>
    <row r="292" spans="1:5" ht="15.75" thickBot="1" x14ac:dyDescent="0.25">
      <c r="A292" s="394" t="s">
        <v>628</v>
      </c>
      <c r="B292" s="395" t="s">
        <v>6</v>
      </c>
      <c r="C292" s="398">
        <v>110</v>
      </c>
      <c r="D292" s="399">
        <v>0</v>
      </c>
      <c r="E292" s="398">
        <f t="shared" si="4"/>
        <v>0</v>
      </c>
    </row>
    <row r="293" spans="1:5" ht="15.75" thickBot="1" x14ac:dyDescent="0.25">
      <c r="A293" s="394" t="s">
        <v>629</v>
      </c>
      <c r="B293" s="395" t="s">
        <v>6</v>
      </c>
      <c r="C293" s="398">
        <v>120</v>
      </c>
      <c r="D293" s="399">
        <v>0</v>
      </c>
      <c r="E293" s="398">
        <f t="shared" si="4"/>
        <v>0</v>
      </c>
    </row>
    <row r="294" spans="1:5" ht="15.75" thickBot="1" x14ac:dyDescent="0.25">
      <c r="A294" s="394" t="s">
        <v>630</v>
      </c>
      <c r="B294" s="395" t="s">
        <v>6</v>
      </c>
      <c r="C294" s="398">
        <v>150</v>
      </c>
      <c r="D294" s="399">
        <v>0</v>
      </c>
      <c r="E294" s="398">
        <f t="shared" si="4"/>
        <v>0</v>
      </c>
    </row>
    <row r="295" spans="1:5" ht="15.75" thickBot="1" x14ac:dyDescent="0.25">
      <c r="A295" s="394" t="s">
        <v>631</v>
      </c>
      <c r="B295" s="395" t="s">
        <v>6</v>
      </c>
      <c r="C295" s="398">
        <v>170</v>
      </c>
      <c r="D295" s="399">
        <v>0</v>
      </c>
      <c r="E295" s="398">
        <f t="shared" si="4"/>
        <v>0</v>
      </c>
    </row>
    <row r="296" spans="1:5" ht="15.75" thickBot="1" x14ac:dyDescent="0.25">
      <c r="A296" s="394" t="s">
        <v>632</v>
      </c>
      <c r="B296" s="395" t="s">
        <v>6</v>
      </c>
      <c r="C296" s="398">
        <v>90</v>
      </c>
      <c r="D296" s="399">
        <v>0</v>
      </c>
      <c r="E296" s="398">
        <f t="shared" si="4"/>
        <v>0</v>
      </c>
    </row>
    <row r="297" spans="1:5" ht="15.75" thickBot="1" x14ac:dyDescent="0.25">
      <c r="A297" s="394" t="s">
        <v>633</v>
      </c>
      <c r="B297" s="395" t="s">
        <v>6</v>
      </c>
      <c r="C297" s="398">
        <v>120</v>
      </c>
      <c r="D297" s="399">
        <v>0</v>
      </c>
      <c r="E297" s="398">
        <f t="shared" si="4"/>
        <v>0</v>
      </c>
    </row>
    <row r="298" spans="1:5" ht="15.75" thickBot="1" x14ac:dyDescent="0.25">
      <c r="A298" s="394" t="s">
        <v>634</v>
      </c>
      <c r="B298" s="395" t="s">
        <v>6</v>
      </c>
      <c r="C298" s="398">
        <v>150</v>
      </c>
      <c r="D298" s="399">
        <v>0</v>
      </c>
      <c r="E298" s="398">
        <f t="shared" si="4"/>
        <v>0</v>
      </c>
    </row>
    <row r="299" spans="1:5" ht="15.75" thickBot="1" x14ac:dyDescent="0.25">
      <c r="A299" s="394" t="s">
        <v>635</v>
      </c>
      <c r="B299" s="395" t="s">
        <v>6</v>
      </c>
      <c r="C299" s="398">
        <v>110</v>
      </c>
      <c r="D299" s="399">
        <v>0</v>
      </c>
      <c r="E299" s="398">
        <f t="shared" si="4"/>
        <v>0</v>
      </c>
    </row>
    <row r="300" spans="1:5" ht="15.75" thickBot="1" x14ac:dyDescent="0.25">
      <c r="A300" s="394" t="s">
        <v>636</v>
      </c>
      <c r="B300" s="395" t="s">
        <v>6</v>
      </c>
      <c r="C300" s="398">
        <v>150</v>
      </c>
      <c r="D300" s="399">
        <v>0</v>
      </c>
      <c r="E300" s="398">
        <f t="shared" si="4"/>
        <v>0</v>
      </c>
    </row>
    <row r="301" spans="1:5" ht="15.75" thickBot="1" x14ac:dyDescent="0.25">
      <c r="A301" s="394" t="s">
        <v>637</v>
      </c>
      <c r="B301" s="395" t="s">
        <v>6</v>
      </c>
      <c r="C301" s="398">
        <v>5000</v>
      </c>
      <c r="D301" s="399">
        <v>0</v>
      </c>
      <c r="E301" s="398">
        <f t="shared" si="4"/>
        <v>0</v>
      </c>
    </row>
    <row r="302" spans="1:5" ht="15.75" thickBot="1" x14ac:dyDescent="0.25">
      <c r="A302" s="394" t="s">
        <v>638</v>
      </c>
      <c r="B302" s="395" t="s">
        <v>6</v>
      </c>
      <c r="C302" s="398">
        <v>140</v>
      </c>
      <c r="D302" s="399">
        <v>0</v>
      </c>
      <c r="E302" s="398">
        <f t="shared" si="4"/>
        <v>0</v>
      </c>
    </row>
    <row r="303" spans="1:5" ht="15.75" thickBot="1" x14ac:dyDescent="0.25">
      <c r="A303" s="394" t="s">
        <v>639</v>
      </c>
      <c r="B303" s="395" t="s">
        <v>6</v>
      </c>
      <c r="C303" s="398">
        <v>150</v>
      </c>
      <c r="D303" s="399">
        <v>0</v>
      </c>
      <c r="E303" s="398">
        <f t="shared" si="4"/>
        <v>0</v>
      </c>
    </row>
    <row r="304" spans="1:5" ht="15.75" thickBot="1" x14ac:dyDescent="0.25">
      <c r="A304" s="394" t="s">
        <v>640</v>
      </c>
      <c r="B304" s="395" t="s">
        <v>6</v>
      </c>
      <c r="C304" s="398">
        <v>90</v>
      </c>
      <c r="D304" s="399">
        <v>0</v>
      </c>
      <c r="E304" s="398">
        <f t="shared" si="4"/>
        <v>0</v>
      </c>
    </row>
    <row r="305" spans="1:5" ht="15.75" thickBot="1" x14ac:dyDescent="0.25">
      <c r="A305" s="394" t="s">
        <v>641</v>
      </c>
      <c r="B305" s="395" t="s">
        <v>6</v>
      </c>
      <c r="C305" s="398">
        <v>1000</v>
      </c>
      <c r="D305" s="399">
        <v>0</v>
      </c>
      <c r="E305" s="398">
        <f t="shared" si="4"/>
        <v>0</v>
      </c>
    </row>
    <row r="306" spans="1:5" ht="15.75" thickBot="1" x14ac:dyDescent="0.25">
      <c r="A306" s="394" t="s">
        <v>642</v>
      </c>
      <c r="B306" s="395" t="s">
        <v>6</v>
      </c>
      <c r="C306" s="398">
        <v>1500</v>
      </c>
      <c r="D306" s="399">
        <v>0</v>
      </c>
      <c r="E306" s="398">
        <f t="shared" si="4"/>
        <v>0</v>
      </c>
    </row>
    <row r="307" spans="1:5" ht="15.75" thickBot="1" x14ac:dyDescent="0.25">
      <c r="A307" s="394" t="s">
        <v>643</v>
      </c>
      <c r="B307" s="395" t="s">
        <v>6</v>
      </c>
      <c r="C307" s="398">
        <v>2000</v>
      </c>
      <c r="D307" s="399">
        <v>0</v>
      </c>
      <c r="E307" s="398">
        <f t="shared" si="4"/>
        <v>0</v>
      </c>
    </row>
    <row r="308" spans="1:5" ht="15.75" thickBot="1" x14ac:dyDescent="0.25">
      <c r="A308" s="394" t="s">
        <v>644</v>
      </c>
      <c r="B308" s="395" t="s">
        <v>6</v>
      </c>
      <c r="C308" s="398">
        <v>400</v>
      </c>
      <c r="D308" s="399">
        <v>0</v>
      </c>
      <c r="E308" s="398">
        <f t="shared" si="4"/>
        <v>0</v>
      </c>
    </row>
    <row r="309" spans="1:5" ht="15.75" thickBot="1" x14ac:dyDescent="0.25">
      <c r="A309" s="394" t="s">
        <v>645</v>
      </c>
      <c r="B309" s="395" t="s">
        <v>6</v>
      </c>
      <c r="C309" s="398">
        <v>60</v>
      </c>
      <c r="D309" s="399">
        <v>0</v>
      </c>
      <c r="E309" s="398">
        <f t="shared" si="4"/>
        <v>0</v>
      </c>
    </row>
    <row r="310" spans="1:5" ht="15.75" thickBot="1" x14ac:dyDescent="0.25">
      <c r="A310" s="394" t="s">
        <v>646</v>
      </c>
      <c r="B310" s="395" t="s">
        <v>6</v>
      </c>
      <c r="C310" s="398">
        <v>150</v>
      </c>
      <c r="D310" s="399">
        <v>0</v>
      </c>
      <c r="E310" s="398">
        <f t="shared" si="4"/>
        <v>0</v>
      </c>
    </row>
    <row r="311" spans="1:5" ht="15.75" thickBot="1" x14ac:dyDescent="0.25">
      <c r="A311" s="394" t="s">
        <v>647</v>
      </c>
      <c r="B311" s="395" t="s">
        <v>6</v>
      </c>
      <c r="C311" s="398">
        <v>300</v>
      </c>
      <c r="D311" s="399">
        <v>0</v>
      </c>
      <c r="E311" s="398">
        <f t="shared" si="4"/>
        <v>0</v>
      </c>
    </row>
    <row r="312" spans="1:5" ht="15.75" thickBot="1" x14ac:dyDescent="0.25">
      <c r="A312" s="394" t="s">
        <v>648</v>
      </c>
      <c r="B312" s="395" t="s">
        <v>6</v>
      </c>
      <c r="C312" s="398">
        <v>150</v>
      </c>
      <c r="D312" s="399">
        <v>0</v>
      </c>
      <c r="E312" s="398">
        <f t="shared" si="4"/>
        <v>0</v>
      </c>
    </row>
    <row r="313" spans="1:5" ht="15.75" thickBot="1" x14ac:dyDescent="0.25">
      <c r="A313" s="394" t="s">
        <v>649</v>
      </c>
      <c r="B313" s="395" t="s">
        <v>6</v>
      </c>
      <c r="C313" s="398">
        <v>20</v>
      </c>
      <c r="D313" s="399">
        <v>0</v>
      </c>
      <c r="E313" s="398">
        <f t="shared" si="4"/>
        <v>0</v>
      </c>
    </row>
    <row r="314" spans="1:5" ht="15.75" thickBot="1" x14ac:dyDescent="0.25">
      <c r="A314" s="394" t="s">
        <v>650</v>
      </c>
      <c r="B314" s="395" t="s">
        <v>444</v>
      </c>
      <c r="C314" s="398">
        <v>30</v>
      </c>
      <c r="D314" s="399">
        <v>20</v>
      </c>
      <c r="E314" s="398">
        <f t="shared" si="4"/>
        <v>600</v>
      </c>
    </row>
    <row r="315" spans="1:5" s="402" customFormat="1" ht="16.5" thickBot="1" x14ac:dyDescent="0.25">
      <c r="A315" s="439" t="s">
        <v>371</v>
      </c>
      <c r="B315" s="440"/>
      <c r="C315" s="440"/>
      <c r="D315" s="441"/>
      <c r="E315" s="401">
        <f>SUM(E234:E314)</f>
        <v>15260</v>
      </c>
    </row>
    <row r="316" spans="1:5" ht="16.5" thickBot="1" x14ac:dyDescent="0.25">
      <c r="A316" s="436" t="s">
        <v>651</v>
      </c>
      <c r="B316" s="437"/>
      <c r="C316" s="437"/>
      <c r="D316" s="437"/>
      <c r="E316" s="438"/>
    </row>
    <row r="317" spans="1:5" ht="15.75" thickBot="1" x14ac:dyDescent="0.25">
      <c r="A317" s="394" t="s">
        <v>652</v>
      </c>
      <c r="B317" s="395" t="s">
        <v>431</v>
      </c>
      <c r="C317" s="396">
        <v>58</v>
      </c>
      <c r="D317" s="397">
        <v>0</v>
      </c>
      <c r="E317" s="396">
        <f t="shared" si="4"/>
        <v>0</v>
      </c>
    </row>
    <row r="318" spans="1:5" ht="15.75" thickBot="1" x14ac:dyDescent="0.25">
      <c r="A318" s="394" t="s">
        <v>653</v>
      </c>
      <c r="B318" s="395" t="s">
        <v>431</v>
      </c>
      <c r="C318" s="398">
        <v>58</v>
      </c>
      <c r="D318" s="399">
        <v>0</v>
      </c>
      <c r="E318" s="398">
        <f t="shared" si="4"/>
        <v>0</v>
      </c>
    </row>
    <row r="319" spans="1:5" ht="15.75" thickBot="1" x14ac:dyDescent="0.25">
      <c r="A319" s="394" t="s">
        <v>654</v>
      </c>
      <c r="B319" s="395" t="s">
        <v>339</v>
      </c>
      <c r="C319" s="398">
        <v>100</v>
      </c>
      <c r="D319" s="399">
        <v>0</v>
      </c>
      <c r="E319" s="398">
        <f t="shared" si="4"/>
        <v>0</v>
      </c>
    </row>
    <row r="320" spans="1:5" ht="15.75" thickBot="1" x14ac:dyDescent="0.25">
      <c r="A320" s="394" t="s">
        <v>655</v>
      </c>
      <c r="B320" s="395" t="s">
        <v>339</v>
      </c>
      <c r="C320" s="398">
        <v>100</v>
      </c>
      <c r="D320" s="399">
        <v>0</v>
      </c>
      <c r="E320" s="398">
        <f t="shared" si="4"/>
        <v>0</v>
      </c>
    </row>
    <row r="321" spans="1:5" ht="15.75" thickBot="1" x14ac:dyDescent="0.25">
      <c r="A321" s="394" t="s">
        <v>656</v>
      </c>
      <c r="B321" s="395" t="s">
        <v>339</v>
      </c>
      <c r="C321" s="398">
        <v>90</v>
      </c>
      <c r="D321" s="399">
        <v>0</v>
      </c>
      <c r="E321" s="398">
        <f t="shared" si="4"/>
        <v>0</v>
      </c>
    </row>
    <row r="322" spans="1:5" ht="15.75" thickBot="1" x14ac:dyDescent="0.25">
      <c r="A322" s="394" t="s">
        <v>657</v>
      </c>
      <c r="B322" s="395" t="s">
        <v>339</v>
      </c>
      <c r="C322" s="398">
        <v>70</v>
      </c>
      <c r="D322" s="399">
        <v>0</v>
      </c>
      <c r="E322" s="398">
        <f t="shared" si="4"/>
        <v>0</v>
      </c>
    </row>
    <row r="323" spans="1:5" ht="15.75" thickBot="1" x14ac:dyDescent="0.25">
      <c r="A323" s="394" t="s">
        <v>658</v>
      </c>
      <c r="B323" s="395" t="s">
        <v>339</v>
      </c>
      <c r="C323" s="398">
        <v>140</v>
      </c>
      <c r="D323" s="399">
        <v>0</v>
      </c>
      <c r="E323" s="398">
        <f t="shared" si="4"/>
        <v>0</v>
      </c>
    </row>
    <row r="324" spans="1:5" ht="15.75" thickBot="1" x14ac:dyDescent="0.25">
      <c r="A324" s="394" t="s">
        <v>659</v>
      </c>
      <c r="B324" s="395" t="s">
        <v>339</v>
      </c>
      <c r="C324" s="398">
        <v>300</v>
      </c>
      <c r="D324" s="399">
        <v>0</v>
      </c>
      <c r="E324" s="398">
        <f t="shared" ref="E324:E387" si="5">PRODUCT(D324,C324)</f>
        <v>0</v>
      </c>
    </row>
    <row r="325" spans="1:5" ht="15.75" thickBot="1" x14ac:dyDescent="0.25">
      <c r="A325" s="394" t="s">
        <v>660</v>
      </c>
      <c r="B325" s="395" t="s">
        <v>431</v>
      </c>
      <c r="C325" s="398">
        <v>50</v>
      </c>
      <c r="D325" s="399">
        <v>0</v>
      </c>
      <c r="E325" s="398">
        <f t="shared" si="5"/>
        <v>0</v>
      </c>
    </row>
    <row r="326" spans="1:5" ht="15.75" thickBot="1" x14ac:dyDescent="0.25">
      <c r="A326" s="394" t="s">
        <v>661</v>
      </c>
      <c r="B326" s="395" t="s">
        <v>339</v>
      </c>
      <c r="C326" s="398">
        <v>100</v>
      </c>
      <c r="D326" s="399">
        <v>0</v>
      </c>
      <c r="E326" s="398">
        <f t="shared" si="5"/>
        <v>0</v>
      </c>
    </row>
    <row r="327" spans="1:5" ht="15.75" thickBot="1" x14ac:dyDescent="0.25">
      <c r="A327" s="394" t="s">
        <v>662</v>
      </c>
      <c r="B327" s="395" t="s">
        <v>339</v>
      </c>
      <c r="C327" s="398">
        <v>70</v>
      </c>
      <c r="D327" s="399">
        <v>0</v>
      </c>
      <c r="E327" s="398">
        <f t="shared" si="5"/>
        <v>0</v>
      </c>
    </row>
    <row r="328" spans="1:5" ht="15.75" thickBot="1" x14ac:dyDescent="0.25">
      <c r="A328" s="394" t="s">
        <v>663</v>
      </c>
      <c r="B328" s="395" t="s">
        <v>339</v>
      </c>
      <c r="C328" s="398">
        <v>100</v>
      </c>
      <c r="D328" s="399">
        <v>0</v>
      </c>
      <c r="E328" s="398">
        <f t="shared" si="5"/>
        <v>0</v>
      </c>
    </row>
    <row r="329" spans="1:5" ht="15.75" thickBot="1" x14ac:dyDescent="0.25">
      <c r="A329" s="394" t="s">
        <v>664</v>
      </c>
      <c r="B329" s="395" t="s">
        <v>339</v>
      </c>
      <c r="C329" s="398">
        <v>100</v>
      </c>
      <c r="D329" s="399">
        <v>0</v>
      </c>
      <c r="E329" s="398">
        <f t="shared" si="5"/>
        <v>0</v>
      </c>
    </row>
    <row r="330" spans="1:5" ht="15.75" thickBot="1" x14ac:dyDescent="0.25">
      <c r="A330" s="394" t="s">
        <v>665</v>
      </c>
      <c r="B330" s="395" t="s">
        <v>199</v>
      </c>
      <c r="C330" s="398">
        <v>180</v>
      </c>
      <c r="D330" s="399">
        <v>0</v>
      </c>
      <c r="E330" s="398">
        <f t="shared" si="5"/>
        <v>0</v>
      </c>
    </row>
    <row r="331" spans="1:5" ht="15.75" thickBot="1" x14ac:dyDescent="0.25">
      <c r="A331" s="394" t="s">
        <v>666</v>
      </c>
      <c r="B331" s="395" t="s">
        <v>199</v>
      </c>
      <c r="C331" s="398">
        <v>120</v>
      </c>
      <c r="D331" s="399">
        <v>0</v>
      </c>
      <c r="E331" s="398">
        <f t="shared" si="5"/>
        <v>0</v>
      </c>
    </row>
    <row r="332" spans="1:5" ht="15.75" thickBot="1" x14ac:dyDescent="0.25">
      <c r="A332" s="394" t="s">
        <v>667</v>
      </c>
      <c r="B332" s="395" t="s">
        <v>199</v>
      </c>
      <c r="C332" s="398">
        <v>140</v>
      </c>
      <c r="D332" s="399">
        <v>0</v>
      </c>
      <c r="E332" s="398">
        <f t="shared" si="5"/>
        <v>0</v>
      </c>
    </row>
    <row r="333" spans="1:5" ht="15.75" thickBot="1" x14ac:dyDescent="0.25">
      <c r="A333" s="394" t="s">
        <v>668</v>
      </c>
      <c r="B333" s="395" t="s">
        <v>199</v>
      </c>
      <c r="C333" s="398">
        <v>360</v>
      </c>
      <c r="D333" s="399">
        <v>0</v>
      </c>
      <c r="E333" s="398">
        <f t="shared" si="5"/>
        <v>0</v>
      </c>
    </row>
    <row r="334" spans="1:5" ht="15.75" thickBot="1" x14ac:dyDescent="0.25">
      <c r="A334" s="394" t="s">
        <v>669</v>
      </c>
      <c r="B334" s="395" t="s">
        <v>199</v>
      </c>
      <c r="C334" s="398">
        <v>200</v>
      </c>
      <c r="D334" s="399">
        <v>0</v>
      </c>
      <c r="E334" s="398">
        <f t="shared" si="5"/>
        <v>0</v>
      </c>
    </row>
    <row r="335" spans="1:5" ht="15.75" thickBot="1" x14ac:dyDescent="0.25">
      <c r="A335" s="394" t="s">
        <v>670</v>
      </c>
      <c r="B335" s="395" t="s">
        <v>199</v>
      </c>
      <c r="C335" s="398">
        <v>70</v>
      </c>
      <c r="D335" s="399">
        <v>0</v>
      </c>
      <c r="E335" s="398">
        <f t="shared" si="5"/>
        <v>0</v>
      </c>
    </row>
    <row r="336" spans="1:5" ht="15.75" thickBot="1" x14ac:dyDescent="0.25">
      <c r="A336" s="394" t="s">
        <v>671</v>
      </c>
      <c r="B336" s="395" t="s">
        <v>199</v>
      </c>
      <c r="C336" s="398">
        <v>80</v>
      </c>
      <c r="D336" s="399">
        <v>0</v>
      </c>
      <c r="E336" s="398">
        <f t="shared" si="5"/>
        <v>0</v>
      </c>
    </row>
    <row r="337" spans="1:5" ht="15.75" thickBot="1" x14ac:dyDescent="0.25">
      <c r="A337" s="394" t="s">
        <v>672</v>
      </c>
      <c r="B337" s="395" t="s">
        <v>199</v>
      </c>
      <c r="C337" s="398">
        <v>100</v>
      </c>
      <c r="D337" s="399">
        <v>0</v>
      </c>
      <c r="E337" s="398">
        <f t="shared" si="5"/>
        <v>0</v>
      </c>
    </row>
    <row r="338" spans="1:5" ht="15.75" thickBot="1" x14ac:dyDescent="0.25">
      <c r="A338" s="394" t="s">
        <v>673</v>
      </c>
      <c r="B338" s="395" t="s">
        <v>199</v>
      </c>
      <c r="C338" s="398">
        <v>80</v>
      </c>
      <c r="D338" s="399">
        <v>0</v>
      </c>
      <c r="E338" s="398">
        <f t="shared" si="5"/>
        <v>0</v>
      </c>
    </row>
    <row r="339" spans="1:5" ht="15.75" thickBot="1" x14ac:dyDescent="0.25">
      <c r="A339" s="394" t="s">
        <v>674</v>
      </c>
      <c r="B339" s="395" t="s">
        <v>199</v>
      </c>
      <c r="C339" s="398">
        <v>70</v>
      </c>
      <c r="D339" s="399">
        <v>0</v>
      </c>
      <c r="E339" s="398">
        <f t="shared" si="5"/>
        <v>0</v>
      </c>
    </row>
    <row r="340" spans="1:5" ht="15.75" thickBot="1" x14ac:dyDescent="0.25">
      <c r="A340" s="394" t="s">
        <v>675</v>
      </c>
      <c r="B340" s="395" t="s">
        <v>199</v>
      </c>
      <c r="C340" s="398">
        <v>60</v>
      </c>
      <c r="D340" s="399">
        <v>0</v>
      </c>
      <c r="E340" s="398">
        <f t="shared" si="5"/>
        <v>0</v>
      </c>
    </row>
    <row r="341" spans="1:5" ht="15.75" thickBot="1" x14ac:dyDescent="0.25">
      <c r="A341" s="394" t="s">
        <v>676</v>
      </c>
      <c r="B341" s="395" t="s">
        <v>199</v>
      </c>
      <c r="C341" s="398">
        <v>50</v>
      </c>
      <c r="D341" s="399">
        <v>0</v>
      </c>
      <c r="E341" s="398">
        <f t="shared" si="5"/>
        <v>0</v>
      </c>
    </row>
    <row r="342" spans="1:5" s="402" customFormat="1" ht="16.5" thickBot="1" x14ac:dyDescent="0.25">
      <c r="A342" s="439" t="s">
        <v>371</v>
      </c>
      <c r="B342" s="440"/>
      <c r="C342" s="440"/>
      <c r="D342" s="441"/>
      <c r="E342" s="401">
        <f>SUM(E317:E341)</f>
        <v>0</v>
      </c>
    </row>
    <row r="343" spans="1:5" ht="16.5" thickBot="1" x14ac:dyDescent="0.25">
      <c r="A343" s="436" t="s">
        <v>677</v>
      </c>
      <c r="B343" s="437"/>
      <c r="C343" s="437"/>
      <c r="D343" s="437"/>
      <c r="E343" s="438"/>
    </row>
    <row r="344" spans="1:5" ht="15.75" thickBot="1" x14ac:dyDescent="0.25">
      <c r="A344" s="394" t="s">
        <v>678</v>
      </c>
      <c r="B344" s="395" t="s">
        <v>339</v>
      </c>
      <c r="C344" s="396">
        <v>300</v>
      </c>
      <c r="D344" s="397">
        <v>0</v>
      </c>
      <c r="E344" s="396">
        <f t="shared" si="5"/>
        <v>0</v>
      </c>
    </row>
    <row r="345" spans="1:5" ht="15.75" thickBot="1" x14ac:dyDescent="0.25">
      <c r="A345" s="394" t="s">
        <v>679</v>
      </c>
      <c r="B345" s="395" t="s">
        <v>339</v>
      </c>
      <c r="C345" s="398">
        <v>300</v>
      </c>
      <c r="D345" s="399">
        <v>0</v>
      </c>
      <c r="E345" s="398">
        <f t="shared" si="5"/>
        <v>0</v>
      </c>
    </row>
    <row r="346" spans="1:5" ht="15.75" thickBot="1" x14ac:dyDescent="0.25">
      <c r="A346" s="394" t="s">
        <v>680</v>
      </c>
      <c r="B346" s="395" t="s">
        <v>341</v>
      </c>
      <c r="C346" s="398">
        <v>4</v>
      </c>
      <c r="D346" s="399">
        <v>0</v>
      </c>
      <c r="E346" s="398">
        <f t="shared" si="5"/>
        <v>0</v>
      </c>
    </row>
    <row r="347" spans="1:5" ht="15.75" thickBot="1" x14ac:dyDescent="0.25">
      <c r="A347" s="394" t="s">
        <v>681</v>
      </c>
      <c r="B347" s="395" t="s">
        <v>339</v>
      </c>
      <c r="C347" s="398">
        <v>360</v>
      </c>
      <c r="D347" s="399">
        <v>0</v>
      </c>
      <c r="E347" s="398">
        <f t="shared" si="5"/>
        <v>0</v>
      </c>
    </row>
    <row r="348" spans="1:5" ht="15.75" thickBot="1" x14ac:dyDescent="0.25">
      <c r="A348" s="394" t="s">
        <v>682</v>
      </c>
      <c r="B348" s="395" t="s">
        <v>339</v>
      </c>
      <c r="C348" s="398">
        <v>60</v>
      </c>
      <c r="D348" s="399">
        <v>0</v>
      </c>
      <c r="E348" s="398">
        <f t="shared" si="5"/>
        <v>0</v>
      </c>
    </row>
    <row r="349" spans="1:5" ht="15.75" thickBot="1" x14ac:dyDescent="0.25">
      <c r="A349" s="394" t="s">
        <v>683</v>
      </c>
      <c r="B349" s="395" t="s">
        <v>339</v>
      </c>
      <c r="C349" s="398">
        <v>180</v>
      </c>
      <c r="D349" s="399">
        <v>0</v>
      </c>
      <c r="E349" s="398">
        <f t="shared" si="5"/>
        <v>0</v>
      </c>
    </row>
    <row r="350" spans="1:5" ht="15.75" thickBot="1" x14ac:dyDescent="0.25">
      <c r="A350" s="394" t="s">
        <v>684</v>
      </c>
      <c r="B350" s="395" t="s">
        <v>339</v>
      </c>
      <c r="C350" s="398">
        <v>80</v>
      </c>
      <c r="D350" s="399">
        <v>0</v>
      </c>
      <c r="E350" s="398">
        <f t="shared" si="5"/>
        <v>0</v>
      </c>
    </row>
    <row r="351" spans="1:5" ht="15.75" thickBot="1" x14ac:dyDescent="0.25">
      <c r="A351" s="394" t="s">
        <v>685</v>
      </c>
      <c r="B351" s="395" t="s">
        <v>339</v>
      </c>
      <c r="C351" s="398">
        <v>1500</v>
      </c>
      <c r="D351" s="399">
        <v>0</v>
      </c>
      <c r="E351" s="398">
        <f t="shared" si="5"/>
        <v>0</v>
      </c>
    </row>
    <row r="352" spans="1:5" ht="15.75" thickBot="1" x14ac:dyDescent="0.25">
      <c r="A352" s="394" t="s">
        <v>685</v>
      </c>
      <c r="B352" s="395" t="s">
        <v>339</v>
      </c>
      <c r="C352" s="398">
        <v>1500</v>
      </c>
      <c r="D352" s="399">
        <v>0</v>
      </c>
      <c r="E352" s="398">
        <f t="shared" si="5"/>
        <v>0</v>
      </c>
    </row>
    <row r="353" spans="1:5" ht="15.75" thickBot="1" x14ac:dyDescent="0.25">
      <c r="A353" s="394" t="s">
        <v>686</v>
      </c>
      <c r="B353" s="395" t="s">
        <v>341</v>
      </c>
      <c r="C353" s="398">
        <v>40</v>
      </c>
      <c r="D353" s="399">
        <v>0</v>
      </c>
      <c r="E353" s="398">
        <f t="shared" si="5"/>
        <v>0</v>
      </c>
    </row>
    <row r="354" spans="1:5" ht="15.75" thickBot="1" x14ac:dyDescent="0.25">
      <c r="A354" s="394" t="s">
        <v>687</v>
      </c>
      <c r="B354" s="395" t="s">
        <v>199</v>
      </c>
      <c r="C354" s="398">
        <v>700</v>
      </c>
      <c r="D354" s="399">
        <v>0</v>
      </c>
      <c r="E354" s="398">
        <f t="shared" si="5"/>
        <v>0</v>
      </c>
    </row>
    <row r="355" spans="1:5" ht="15.75" thickBot="1" x14ac:dyDescent="0.25">
      <c r="A355" s="394" t="s">
        <v>688</v>
      </c>
      <c r="B355" s="395" t="s">
        <v>199</v>
      </c>
      <c r="C355" s="398">
        <v>760</v>
      </c>
      <c r="D355" s="399">
        <v>0</v>
      </c>
      <c r="E355" s="398">
        <f t="shared" si="5"/>
        <v>0</v>
      </c>
    </row>
    <row r="356" spans="1:5" ht="15.75" thickBot="1" x14ac:dyDescent="0.25">
      <c r="A356" s="394" t="s">
        <v>689</v>
      </c>
      <c r="B356" s="395" t="s">
        <v>199</v>
      </c>
      <c r="C356" s="398">
        <v>640</v>
      </c>
      <c r="D356" s="399">
        <v>0</v>
      </c>
      <c r="E356" s="398">
        <f t="shared" si="5"/>
        <v>0</v>
      </c>
    </row>
    <row r="357" spans="1:5" ht="15.75" thickBot="1" x14ac:dyDescent="0.25">
      <c r="A357" s="394" t="s">
        <v>690</v>
      </c>
      <c r="B357" s="395" t="s">
        <v>199</v>
      </c>
      <c r="C357" s="398">
        <v>180</v>
      </c>
      <c r="D357" s="399">
        <v>0</v>
      </c>
      <c r="E357" s="398">
        <f t="shared" si="5"/>
        <v>0</v>
      </c>
    </row>
    <row r="358" spans="1:5" ht="15.75" thickBot="1" x14ac:dyDescent="0.25">
      <c r="A358" s="394" t="s">
        <v>691</v>
      </c>
      <c r="B358" s="395" t="s">
        <v>199</v>
      </c>
      <c r="C358" s="398">
        <v>740</v>
      </c>
      <c r="D358" s="399">
        <v>0</v>
      </c>
      <c r="E358" s="398">
        <f t="shared" si="5"/>
        <v>0</v>
      </c>
    </row>
    <row r="359" spans="1:5" ht="15.75" thickBot="1" x14ac:dyDescent="0.25">
      <c r="A359" s="394" t="s">
        <v>692</v>
      </c>
      <c r="B359" s="395" t="s">
        <v>199</v>
      </c>
      <c r="C359" s="398">
        <v>800</v>
      </c>
      <c r="D359" s="399">
        <v>0</v>
      </c>
      <c r="E359" s="398">
        <f t="shared" si="5"/>
        <v>0</v>
      </c>
    </row>
    <row r="360" spans="1:5" ht="15.75" thickBot="1" x14ac:dyDescent="0.25">
      <c r="A360" s="394" t="s">
        <v>693</v>
      </c>
      <c r="B360" s="395" t="s">
        <v>199</v>
      </c>
      <c r="C360" s="398">
        <v>700</v>
      </c>
      <c r="D360" s="399">
        <v>0</v>
      </c>
      <c r="E360" s="398">
        <f t="shared" si="5"/>
        <v>0</v>
      </c>
    </row>
    <row r="361" spans="1:5" s="402" customFormat="1" ht="16.5" thickBot="1" x14ac:dyDescent="0.25">
      <c r="A361" s="439" t="s">
        <v>371</v>
      </c>
      <c r="B361" s="440"/>
      <c r="C361" s="440"/>
      <c r="D361" s="441"/>
      <c r="E361" s="401">
        <f>SUM(E344:E360)</f>
        <v>0</v>
      </c>
    </row>
    <row r="362" spans="1:5" ht="16.5" thickBot="1" x14ac:dyDescent="0.25">
      <c r="A362" s="436" t="s">
        <v>694</v>
      </c>
      <c r="B362" s="437"/>
      <c r="C362" s="437"/>
      <c r="D362" s="437"/>
      <c r="E362" s="438"/>
    </row>
    <row r="363" spans="1:5" ht="15.75" thickBot="1" x14ac:dyDescent="0.25">
      <c r="A363" s="394" t="s">
        <v>695</v>
      </c>
      <c r="B363" s="395" t="s">
        <v>341</v>
      </c>
      <c r="C363" s="396">
        <v>24</v>
      </c>
      <c r="D363" s="397">
        <v>0</v>
      </c>
      <c r="E363" s="396">
        <f t="shared" si="5"/>
        <v>0</v>
      </c>
    </row>
    <row r="364" spans="1:5" ht="15.75" thickBot="1" x14ac:dyDescent="0.25">
      <c r="A364" s="394" t="s">
        <v>696</v>
      </c>
      <c r="B364" s="395" t="s">
        <v>341</v>
      </c>
      <c r="C364" s="398">
        <v>4</v>
      </c>
      <c r="D364" s="399">
        <v>0</v>
      </c>
      <c r="E364" s="398">
        <f t="shared" si="5"/>
        <v>0</v>
      </c>
    </row>
    <row r="365" spans="1:5" ht="15.75" thickBot="1" x14ac:dyDescent="0.25">
      <c r="A365" s="394" t="s">
        <v>697</v>
      </c>
      <c r="B365" s="395" t="s">
        <v>431</v>
      </c>
      <c r="C365" s="398">
        <v>70</v>
      </c>
      <c r="D365" s="399">
        <v>0</v>
      </c>
      <c r="E365" s="398">
        <f t="shared" si="5"/>
        <v>0</v>
      </c>
    </row>
    <row r="366" spans="1:5" ht="15.75" thickBot="1" x14ac:dyDescent="0.25">
      <c r="A366" s="394" t="s">
        <v>698</v>
      </c>
      <c r="B366" s="395" t="s">
        <v>536</v>
      </c>
      <c r="C366" s="398">
        <v>60</v>
      </c>
      <c r="D366" s="399">
        <v>0</v>
      </c>
      <c r="E366" s="398">
        <f t="shared" si="5"/>
        <v>0</v>
      </c>
    </row>
    <row r="367" spans="1:5" ht="15.75" thickBot="1" x14ac:dyDescent="0.25">
      <c r="A367" s="394" t="s">
        <v>699</v>
      </c>
      <c r="B367" s="395" t="s">
        <v>431</v>
      </c>
      <c r="C367" s="398">
        <v>70</v>
      </c>
      <c r="D367" s="399">
        <v>0</v>
      </c>
      <c r="E367" s="398">
        <f t="shared" si="5"/>
        <v>0</v>
      </c>
    </row>
    <row r="368" spans="1:5" ht="15.75" thickBot="1" x14ac:dyDescent="0.25">
      <c r="A368" s="394" t="s">
        <v>700</v>
      </c>
      <c r="B368" s="395" t="s">
        <v>536</v>
      </c>
      <c r="C368" s="398">
        <v>70</v>
      </c>
      <c r="D368" s="399">
        <v>0</v>
      </c>
      <c r="E368" s="398">
        <f t="shared" si="5"/>
        <v>0</v>
      </c>
    </row>
    <row r="369" spans="1:5" ht="15.75" thickBot="1" x14ac:dyDescent="0.25">
      <c r="A369" s="394" t="s">
        <v>701</v>
      </c>
      <c r="B369" s="395" t="s">
        <v>536</v>
      </c>
      <c r="C369" s="398">
        <v>100</v>
      </c>
      <c r="D369" s="399">
        <v>0</v>
      </c>
      <c r="E369" s="398">
        <f t="shared" si="5"/>
        <v>0</v>
      </c>
    </row>
    <row r="370" spans="1:5" ht="15.75" thickBot="1" x14ac:dyDescent="0.25">
      <c r="A370" s="394" t="s">
        <v>702</v>
      </c>
      <c r="B370" s="395" t="s">
        <v>339</v>
      </c>
      <c r="C370" s="398">
        <v>300</v>
      </c>
      <c r="D370" s="399">
        <v>0</v>
      </c>
      <c r="E370" s="398">
        <f t="shared" si="5"/>
        <v>0</v>
      </c>
    </row>
    <row r="371" spans="1:5" ht="15.75" thickBot="1" x14ac:dyDescent="0.25">
      <c r="A371" s="394" t="s">
        <v>703</v>
      </c>
      <c r="B371" s="395" t="s">
        <v>431</v>
      </c>
      <c r="C371" s="398">
        <v>70</v>
      </c>
      <c r="D371" s="399">
        <v>0</v>
      </c>
      <c r="E371" s="398">
        <f t="shared" si="5"/>
        <v>0</v>
      </c>
    </row>
    <row r="372" spans="1:5" ht="15.75" thickBot="1" x14ac:dyDescent="0.25">
      <c r="A372" s="394" t="s">
        <v>704</v>
      </c>
      <c r="B372" s="395" t="s">
        <v>431</v>
      </c>
      <c r="C372" s="398">
        <v>140</v>
      </c>
      <c r="D372" s="399">
        <v>0</v>
      </c>
      <c r="E372" s="398">
        <f t="shared" si="5"/>
        <v>0</v>
      </c>
    </row>
    <row r="373" spans="1:5" ht="15.75" thickBot="1" x14ac:dyDescent="0.25">
      <c r="A373" s="394" t="s">
        <v>705</v>
      </c>
      <c r="B373" s="395" t="s">
        <v>339</v>
      </c>
      <c r="C373" s="398">
        <v>100</v>
      </c>
      <c r="D373" s="399">
        <v>0</v>
      </c>
      <c r="E373" s="398">
        <f t="shared" si="5"/>
        <v>0</v>
      </c>
    </row>
    <row r="374" spans="1:5" ht="15.75" thickBot="1" x14ac:dyDescent="0.25">
      <c r="A374" s="394" t="s">
        <v>706</v>
      </c>
      <c r="B374" s="395" t="s">
        <v>536</v>
      </c>
      <c r="C374" s="398">
        <v>90</v>
      </c>
      <c r="D374" s="399">
        <v>0</v>
      </c>
      <c r="E374" s="398">
        <f t="shared" si="5"/>
        <v>0</v>
      </c>
    </row>
    <row r="375" spans="1:5" ht="15.75" thickBot="1" x14ac:dyDescent="0.25">
      <c r="A375" s="394" t="s">
        <v>707</v>
      </c>
      <c r="B375" s="395" t="s">
        <v>339</v>
      </c>
      <c r="C375" s="398">
        <v>100</v>
      </c>
      <c r="D375" s="399">
        <v>0</v>
      </c>
      <c r="E375" s="398">
        <f t="shared" si="5"/>
        <v>0</v>
      </c>
    </row>
    <row r="376" spans="1:5" ht="15.75" thickBot="1" x14ac:dyDescent="0.25">
      <c r="A376" s="394" t="s">
        <v>708</v>
      </c>
      <c r="B376" s="395" t="s">
        <v>431</v>
      </c>
      <c r="C376" s="398">
        <v>50</v>
      </c>
      <c r="D376" s="399">
        <v>0</v>
      </c>
      <c r="E376" s="398">
        <f t="shared" si="5"/>
        <v>0</v>
      </c>
    </row>
    <row r="377" spans="1:5" ht="15.75" thickBot="1" x14ac:dyDescent="0.25">
      <c r="A377" s="394" t="s">
        <v>709</v>
      </c>
      <c r="B377" s="395" t="s">
        <v>431</v>
      </c>
      <c r="C377" s="398">
        <v>140</v>
      </c>
      <c r="D377" s="399">
        <v>0</v>
      </c>
      <c r="E377" s="398">
        <f t="shared" si="5"/>
        <v>0</v>
      </c>
    </row>
    <row r="378" spans="1:5" ht="15.75" thickBot="1" x14ac:dyDescent="0.25">
      <c r="A378" s="394" t="s">
        <v>710</v>
      </c>
      <c r="B378" s="395" t="s">
        <v>341</v>
      </c>
      <c r="C378" s="398">
        <v>10</v>
      </c>
      <c r="D378" s="399">
        <v>0</v>
      </c>
      <c r="E378" s="398">
        <f t="shared" si="5"/>
        <v>0</v>
      </c>
    </row>
    <row r="379" spans="1:5" ht="15.75" thickBot="1" x14ac:dyDescent="0.25">
      <c r="A379" s="394" t="s">
        <v>711</v>
      </c>
      <c r="B379" s="395" t="s">
        <v>339</v>
      </c>
      <c r="C379" s="398">
        <v>90</v>
      </c>
      <c r="D379" s="399">
        <v>0</v>
      </c>
      <c r="E379" s="398">
        <f t="shared" si="5"/>
        <v>0</v>
      </c>
    </row>
    <row r="380" spans="1:5" ht="15.75" thickBot="1" x14ac:dyDescent="0.25">
      <c r="A380" s="394" t="s">
        <v>712</v>
      </c>
      <c r="B380" s="395" t="s">
        <v>339</v>
      </c>
      <c r="C380" s="398">
        <v>100</v>
      </c>
      <c r="D380" s="399">
        <v>0</v>
      </c>
      <c r="E380" s="398">
        <f t="shared" si="5"/>
        <v>0</v>
      </c>
    </row>
    <row r="381" spans="1:5" ht="15.75" thickBot="1" x14ac:dyDescent="0.25">
      <c r="A381" s="394" t="s">
        <v>713</v>
      </c>
      <c r="B381" s="395" t="s">
        <v>536</v>
      </c>
      <c r="C381" s="398">
        <v>70</v>
      </c>
      <c r="D381" s="399">
        <v>0</v>
      </c>
      <c r="E381" s="398">
        <f t="shared" si="5"/>
        <v>0</v>
      </c>
    </row>
    <row r="382" spans="1:5" ht="15.75" thickBot="1" x14ac:dyDescent="0.25">
      <c r="A382" s="394" t="s">
        <v>714</v>
      </c>
      <c r="B382" s="395" t="s">
        <v>536</v>
      </c>
      <c r="C382" s="398">
        <v>140</v>
      </c>
      <c r="D382" s="399">
        <v>0</v>
      </c>
      <c r="E382" s="398">
        <f t="shared" si="5"/>
        <v>0</v>
      </c>
    </row>
    <row r="383" spans="1:5" ht="15.75" thickBot="1" x14ac:dyDescent="0.25">
      <c r="A383" s="394" t="s">
        <v>715</v>
      </c>
      <c r="B383" s="395" t="s">
        <v>6</v>
      </c>
      <c r="C383" s="398">
        <v>16</v>
      </c>
      <c r="D383" s="399">
        <v>0</v>
      </c>
      <c r="E383" s="398">
        <f t="shared" si="5"/>
        <v>0</v>
      </c>
    </row>
    <row r="384" spans="1:5" ht="15.75" thickBot="1" x14ac:dyDescent="0.25">
      <c r="A384" s="394" t="s">
        <v>716</v>
      </c>
      <c r="B384" s="395" t="s">
        <v>6</v>
      </c>
      <c r="C384" s="398">
        <v>30</v>
      </c>
      <c r="D384" s="399">
        <v>0</v>
      </c>
      <c r="E384" s="398">
        <f t="shared" si="5"/>
        <v>0</v>
      </c>
    </row>
    <row r="385" spans="1:5" ht="15.75" thickBot="1" x14ac:dyDescent="0.25">
      <c r="A385" s="394" t="s">
        <v>717</v>
      </c>
      <c r="B385" s="395" t="s">
        <v>6</v>
      </c>
      <c r="C385" s="398">
        <v>50</v>
      </c>
      <c r="D385" s="399">
        <v>0</v>
      </c>
      <c r="E385" s="398">
        <f t="shared" si="5"/>
        <v>0</v>
      </c>
    </row>
    <row r="386" spans="1:5" ht="15.75" thickBot="1" x14ac:dyDescent="0.25">
      <c r="A386" s="394" t="s">
        <v>718</v>
      </c>
      <c r="B386" s="395" t="s">
        <v>6</v>
      </c>
      <c r="C386" s="398">
        <v>14</v>
      </c>
      <c r="D386" s="399">
        <v>0</v>
      </c>
      <c r="E386" s="398">
        <f t="shared" si="5"/>
        <v>0</v>
      </c>
    </row>
    <row r="387" spans="1:5" ht="15.75" thickBot="1" x14ac:dyDescent="0.25">
      <c r="A387" s="394" t="s">
        <v>719</v>
      </c>
      <c r="B387" s="395" t="s">
        <v>6</v>
      </c>
      <c r="C387" s="398">
        <v>24</v>
      </c>
      <c r="D387" s="399">
        <v>0</v>
      </c>
      <c r="E387" s="398">
        <f t="shared" si="5"/>
        <v>0</v>
      </c>
    </row>
    <row r="388" spans="1:5" ht="15.75" thickBot="1" x14ac:dyDescent="0.25">
      <c r="A388" s="394" t="s">
        <v>720</v>
      </c>
      <c r="B388" s="395" t="s">
        <v>6</v>
      </c>
      <c r="C388" s="398">
        <v>40</v>
      </c>
      <c r="D388" s="399">
        <v>0</v>
      </c>
      <c r="E388" s="398">
        <f t="shared" ref="E388:E451" si="6">PRODUCT(D388,C388)</f>
        <v>0</v>
      </c>
    </row>
    <row r="389" spans="1:5" ht="15.75" thickBot="1" x14ac:dyDescent="0.25">
      <c r="A389" s="394" t="s">
        <v>721</v>
      </c>
      <c r="B389" s="395" t="s">
        <v>199</v>
      </c>
      <c r="C389" s="398">
        <v>180</v>
      </c>
      <c r="D389" s="399">
        <v>0</v>
      </c>
      <c r="E389" s="398">
        <f t="shared" si="6"/>
        <v>0</v>
      </c>
    </row>
    <row r="390" spans="1:5" ht="15.75" thickBot="1" x14ac:dyDescent="0.25">
      <c r="A390" s="394" t="s">
        <v>722</v>
      </c>
      <c r="B390" s="395" t="s">
        <v>199</v>
      </c>
      <c r="C390" s="398">
        <v>120</v>
      </c>
      <c r="D390" s="399">
        <v>0</v>
      </c>
      <c r="E390" s="398">
        <f t="shared" si="6"/>
        <v>0</v>
      </c>
    </row>
    <row r="391" spans="1:5" ht="15.75" thickBot="1" x14ac:dyDescent="0.25">
      <c r="A391" s="394" t="s">
        <v>723</v>
      </c>
      <c r="B391" s="395" t="s">
        <v>444</v>
      </c>
      <c r="C391" s="398">
        <v>150</v>
      </c>
      <c r="D391" s="399">
        <v>0</v>
      </c>
      <c r="E391" s="398">
        <f t="shared" si="6"/>
        <v>0</v>
      </c>
    </row>
    <row r="392" spans="1:5" ht="15.75" thickBot="1" x14ac:dyDescent="0.25">
      <c r="A392" s="394" t="s">
        <v>724</v>
      </c>
      <c r="B392" s="395" t="s">
        <v>444</v>
      </c>
      <c r="C392" s="398">
        <v>100</v>
      </c>
      <c r="D392" s="399">
        <v>0</v>
      </c>
      <c r="E392" s="398">
        <f t="shared" si="6"/>
        <v>0</v>
      </c>
    </row>
    <row r="393" spans="1:5" ht="15.75" thickBot="1" x14ac:dyDescent="0.25">
      <c r="A393" s="394" t="s">
        <v>725</v>
      </c>
      <c r="B393" s="395" t="s">
        <v>444</v>
      </c>
      <c r="C393" s="398">
        <v>160</v>
      </c>
      <c r="D393" s="399">
        <v>0</v>
      </c>
      <c r="E393" s="398">
        <f t="shared" si="6"/>
        <v>0</v>
      </c>
    </row>
    <row r="394" spans="1:5" ht="15.75" thickBot="1" x14ac:dyDescent="0.25">
      <c r="A394" s="394" t="s">
        <v>726</v>
      </c>
      <c r="B394" s="395" t="s">
        <v>444</v>
      </c>
      <c r="C394" s="398">
        <v>90</v>
      </c>
      <c r="D394" s="399">
        <v>0</v>
      </c>
      <c r="E394" s="398">
        <f t="shared" si="6"/>
        <v>0</v>
      </c>
    </row>
    <row r="395" spans="1:5" ht="15.75" thickBot="1" x14ac:dyDescent="0.25">
      <c r="A395" s="394" t="s">
        <v>727</v>
      </c>
      <c r="B395" s="395" t="s">
        <v>444</v>
      </c>
      <c r="C395" s="398">
        <v>160</v>
      </c>
      <c r="D395" s="399">
        <v>0</v>
      </c>
      <c r="E395" s="398">
        <f t="shared" si="6"/>
        <v>0</v>
      </c>
    </row>
    <row r="396" spans="1:5" ht="15.75" thickBot="1" x14ac:dyDescent="0.25">
      <c r="A396" s="394" t="s">
        <v>728</v>
      </c>
      <c r="B396" s="395" t="s">
        <v>444</v>
      </c>
      <c r="C396" s="398">
        <v>120</v>
      </c>
      <c r="D396" s="399">
        <v>0</v>
      </c>
      <c r="E396" s="398">
        <f t="shared" si="6"/>
        <v>0</v>
      </c>
    </row>
    <row r="397" spans="1:5" ht="15.75" thickBot="1" x14ac:dyDescent="0.25">
      <c r="A397" s="394" t="s">
        <v>729</v>
      </c>
      <c r="B397" s="395" t="s">
        <v>444</v>
      </c>
      <c r="C397" s="398">
        <v>160</v>
      </c>
      <c r="D397" s="399">
        <v>0</v>
      </c>
      <c r="E397" s="398">
        <f t="shared" si="6"/>
        <v>0</v>
      </c>
    </row>
    <row r="398" spans="1:5" ht="15.75" thickBot="1" x14ac:dyDescent="0.25">
      <c r="A398" s="394" t="s">
        <v>730</v>
      </c>
      <c r="B398" s="395" t="s">
        <v>444</v>
      </c>
      <c r="C398" s="398">
        <v>150</v>
      </c>
      <c r="D398" s="399">
        <v>0</v>
      </c>
      <c r="E398" s="398">
        <f t="shared" si="6"/>
        <v>0</v>
      </c>
    </row>
    <row r="399" spans="1:5" ht="15.75" thickBot="1" x14ac:dyDescent="0.25">
      <c r="A399" s="394" t="s">
        <v>731</v>
      </c>
      <c r="B399" s="395" t="s">
        <v>199</v>
      </c>
      <c r="C399" s="398">
        <v>160</v>
      </c>
      <c r="D399" s="399">
        <v>0</v>
      </c>
      <c r="E399" s="398">
        <f t="shared" si="6"/>
        <v>0</v>
      </c>
    </row>
    <row r="400" spans="1:5" ht="15.75" thickBot="1" x14ac:dyDescent="0.25">
      <c r="A400" s="394" t="s">
        <v>732</v>
      </c>
      <c r="B400" s="395" t="s">
        <v>199</v>
      </c>
      <c r="C400" s="398">
        <v>200</v>
      </c>
      <c r="D400" s="399">
        <v>0</v>
      </c>
      <c r="E400" s="398">
        <f t="shared" si="6"/>
        <v>0</v>
      </c>
    </row>
    <row r="401" spans="1:5" ht="15.75" thickBot="1" x14ac:dyDescent="0.25">
      <c r="A401" s="394" t="s">
        <v>733</v>
      </c>
      <c r="B401" s="395" t="s">
        <v>444</v>
      </c>
      <c r="C401" s="398">
        <v>60</v>
      </c>
      <c r="D401" s="399">
        <v>25.22</v>
      </c>
      <c r="E401" s="398">
        <f t="shared" si="6"/>
        <v>1513.1999999999998</v>
      </c>
    </row>
    <row r="402" spans="1:5" s="402" customFormat="1" ht="16.5" thickBot="1" x14ac:dyDescent="0.25">
      <c r="A402" s="439" t="s">
        <v>371</v>
      </c>
      <c r="B402" s="440"/>
      <c r="C402" s="440"/>
      <c r="D402" s="441"/>
      <c r="E402" s="401">
        <f>SUM(E363:E401)</f>
        <v>1513.1999999999998</v>
      </c>
    </row>
    <row r="403" spans="1:5" ht="16.5" thickBot="1" x14ac:dyDescent="0.25">
      <c r="A403" s="436" t="s">
        <v>734</v>
      </c>
      <c r="B403" s="437"/>
      <c r="C403" s="437"/>
      <c r="D403" s="437"/>
      <c r="E403" s="438"/>
    </row>
    <row r="404" spans="1:5" ht="15.75" thickBot="1" x14ac:dyDescent="0.25">
      <c r="A404" s="394" t="s">
        <v>735</v>
      </c>
      <c r="B404" s="395" t="s">
        <v>431</v>
      </c>
      <c r="C404" s="396">
        <v>80</v>
      </c>
      <c r="D404" s="397">
        <v>0</v>
      </c>
      <c r="E404" s="396">
        <f t="shared" si="6"/>
        <v>0</v>
      </c>
    </row>
    <row r="405" spans="1:5" ht="15.75" thickBot="1" x14ac:dyDescent="0.25">
      <c r="A405" s="394" t="s">
        <v>736</v>
      </c>
      <c r="B405" s="395" t="s">
        <v>339</v>
      </c>
      <c r="C405" s="398">
        <v>100</v>
      </c>
      <c r="D405" s="399">
        <v>0</v>
      </c>
      <c r="E405" s="398">
        <f t="shared" si="6"/>
        <v>0</v>
      </c>
    </row>
    <row r="406" spans="1:5" ht="15.75" thickBot="1" x14ac:dyDescent="0.25">
      <c r="A406" s="394" t="s">
        <v>737</v>
      </c>
      <c r="B406" s="395" t="s">
        <v>240</v>
      </c>
      <c r="C406" s="398">
        <v>200</v>
      </c>
      <c r="D406" s="399">
        <v>0</v>
      </c>
      <c r="E406" s="398">
        <f t="shared" si="6"/>
        <v>0</v>
      </c>
    </row>
    <row r="407" spans="1:5" ht="15.75" thickBot="1" x14ac:dyDescent="0.25">
      <c r="A407" s="394" t="s">
        <v>738</v>
      </c>
      <c r="B407" s="395" t="s">
        <v>240</v>
      </c>
      <c r="C407" s="398">
        <v>100</v>
      </c>
      <c r="D407" s="399">
        <v>0</v>
      </c>
      <c r="E407" s="398">
        <f t="shared" si="6"/>
        <v>0</v>
      </c>
    </row>
    <row r="408" spans="1:5" ht="15.75" thickBot="1" x14ac:dyDescent="0.25">
      <c r="A408" s="394" t="s">
        <v>739</v>
      </c>
      <c r="B408" s="395" t="s">
        <v>199</v>
      </c>
      <c r="C408" s="398">
        <v>40</v>
      </c>
      <c r="D408" s="399">
        <v>0</v>
      </c>
      <c r="E408" s="398">
        <f t="shared" si="6"/>
        <v>0</v>
      </c>
    </row>
    <row r="409" spans="1:5" ht="15.75" thickBot="1" x14ac:dyDescent="0.25">
      <c r="A409" s="394" t="s">
        <v>740</v>
      </c>
      <c r="B409" s="395" t="s">
        <v>444</v>
      </c>
      <c r="C409" s="398">
        <v>50</v>
      </c>
      <c r="D409" s="399">
        <v>0</v>
      </c>
      <c r="E409" s="398">
        <f t="shared" si="6"/>
        <v>0</v>
      </c>
    </row>
    <row r="410" spans="1:5" ht="15.75" thickBot="1" x14ac:dyDescent="0.25">
      <c r="A410" s="394" t="s">
        <v>741</v>
      </c>
      <c r="B410" s="395" t="s">
        <v>444</v>
      </c>
      <c r="C410" s="398">
        <v>180</v>
      </c>
      <c r="D410" s="399">
        <v>0</v>
      </c>
      <c r="E410" s="398">
        <f t="shared" si="6"/>
        <v>0</v>
      </c>
    </row>
    <row r="411" spans="1:5" ht="15.75" thickBot="1" x14ac:dyDescent="0.25">
      <c r="A411" s="394" t="s">
        <v>742</v>
      </c>
      <c r="B411" s="395" t="s">
        <v>444</v>
      </c>
      <c r="C411" s="398">
        <v>100</v>
      </c>
      <c r="D411" s="399">
        <v>0</v>
      </c>
      <c r="E411" s="398">
        <f t="shared" si="6"/>
        <v>0</v>
      </c>
    </row>
    <row r="412" spans="1:5" ht="15.75" thickBot="1" x14ac:dyDescent="0.25">
      <c r="A412" s="394" t="s">
        <v>743</v>
      </c>
      <c r="B412" s="395" t="s">
        <v>444</v>
      </c>
      <c r="C412" s="398">
        <v>60</v>
      </c>
      <c r="D412" s="399">
        <v>0</v>
      </c>
      <c r="E412" s="398">
        <f t="shared" si="6"/>
        <v>0</v>
      </c>
    </row>
    <row r="413" spans="1:5" ht="30.75" thickBot="1" x14ac:dyDescent="0.25">
      <c r="A413" s="394" t="s">
        <v>744</v>
      </c>
      <c r="B413" s="395" t="s">
        <v>199</v>
      </c>
      <c r="C413" s="398">
        <v>700</v>
      </c>
      <c r="D413" s="399">
        <v>0</v>
      </c>
      <c r="E413" s="398">
        <f t="shared" si="6"/>
        <v>0</v>
      </c>
    </row>
    <row r="414" spans="1:5" ht="30.75" thickBot="1" x14ac:dyDescent="0.25">
      <c r="A414" s="394" t="s">
        <v>745</v>
      </c>
      <c r="B414" s="395" t="s">
        <v>199</v>
      </c>
      <c r="C414" s="398">
        <v>150</v>
      </c>
      <c r="D414" s="399">
        <v>0</v>
      </c>
      <c r="E414" s="398">
        <f t="shared" si="6"/>
        <v>0</v>
      </c>
    </row>
    <row r="415" spans="1:5" ht="30.75" thickBot="1" x14ac:dyDescent="0.25">
      <c r="A415" s="394" t="s">
        <v>746</v>
      </c>
      <c r="B415" s="395" t="s">
        <v>199</v>
      </c>
      <c r="C415" s="398">
        <v>1400</v>
      </c>
      <c r="D415" s="399">
        <v>0</v>
      </c>
      <c r="E415" s="398">
        <f t="shared" si="6"/>
        <v>0</v>
      </c>
    </row>
    <row r="416" spans="1:5" ht="30.75" thickBot="1" x14ac:dyDescent="0.25">
      <c r="A416" s="394" t="s">
        <v>747</v>
      </c>
      <c r="B416" s="395" t="s">
        <v>199</v>
      </c>
      <c r="C416" s="398">
        <v>400</v>
      </c>
      <c r="D416" s="399">
        <v>0</v>
      </c>
      <c r="E416" s="398">
        <f t="shared" si="6"/>
        <v>0</v>
      </c>
    </row>
    <row r="417" spans="1:5" ht="30.75" thickBot="1" x14ac:dyDescent="0.25">
      <c r="A417" s="394" t="s">
        <v>748</v>
      </c>
      <c r="B417" s="395" t="s">
        <v>199</v>
      </c>
      <c r="C417" s="398">
        <v>100</v>
      </c>
      <c r="D417" s="399">
        <v>0</v>
      </c>
      <c r="E417" s="398">
        <f t="shared" si="6"/>
        <v>0</v>
      </c>
    </row>
    <row r="418" spans="1:5" ht="15.75" thickBot="1" x14ac:dyDescent="0.25">
      <c r="A418" s="394" t="s">
        <v>749</v>
      </c>
      <c r="B418" s="395" t="s">
        <v>199</v>
      </c>
      <c r="C418" s="398">
        <v>180</v>
      </c>
      <c r="D418" s="399">
        <v>0</v>
      </c>
      <c r="E418" s="398">
        <f t="shared" si="6"/>
        <v>0</v>
      </c>
    </row>
    <row r="419" spans="1:5" ht="15.75" thickBot="1" x14ac:dyDescent="0.25">
      <c r="A419" s="394" t="s">
        <v>750</v>
      </c>
      <c r="B419" s="395" t="s">
        <v>199</v>
      </c>
      <c r="C419" s="398">
        <v>560</v>
      </c>
      <c r="D419" s="399">
        <v>0</v>
      </c>
      <c r="E419" s="398">
        <f t="shared" si="6"/>
        <v>0</v>
      </c>
    </row>
    <row r="420" spans="1:5" ht="15.75" thickBot="1" x14ac:dyDescent="0.25">
      <c r="A420" s="394" t="s">
        <v>751</v>
      </c>
      <c r="B420" s="395" t="s">
        <v>199</v>
      </c>
      <c r="C420" s="398">
        <v>960</v>
      </c>
      <c r="D420" s="399">
        <v>0</v>
      </c>
      <c r="E420" s="398">
        <f t="shared" si="6"/>
        <v>0</v>
      </c>
    </row>
    <row r="421" spans="1:5" ht="15.75" thickBot="1" x14ac:dyDescent="0.25">
      <c r="A421" s="394" t="s">
        <v>752</v>
      </c>
      <c r="B421" s="395" t="s">
        <v>199</v>
      </c>
      <c r="C421" s="398">
        <v>120</v>
      </c>
      <c r="D421" s="399">
        <v>0</v>
      </c>
      <c r="E421" s="398">
        <f t="shared" si="6"/>
        <v>0</v>
      </c>
    </row>
    <row r="422" spans="1:5" ht="15.75" thickBot="1" x14ac:dyDescent="0.25">
      <c r="A422" s="394" t="s">
        <v>753</v>
      </c>
      <c r="B422" s="395" t="s">
        <v>199</v>
      </c>
      <c r="C422" s="398">
        <v>180</v>
      </c>
      <c r="D422" s="399">
        <v>0</v>
      </c>
      <c r="E422" s="398">
        <f t="shared" si="6"/>
        <v>0</v>
      </c>
    </row>
    <row r="423" spans="1:5" ht="15.75" thickBot="1" x14ac:dyDescent="0.25">
      <c r="A423" s="394" t="s">
        <v>754</v>
      </c>
      <c r="B423" s="395" t="s">
        <v>199</v>
      </c>
      <c r="C423" s="398">
        <v>140</v>
      </c>
      <c r="D423" s="399">
        <v>0</v>
      </c>
      <c r="E423" s="398">
        <f t="shared" si="6"/>
        <v>0</v>
      </c>
    </row>
    <row r="424" spans="1:5" ht="15.75" thickBot="1" x14ac:dyDescent="0.25">
      <c r="A424" s="394" t="s">
        <v>755</v>
      </c>
      <c r="B424" s="395" t="s">
        <v>199</v>
      </c>
      <c r="C424" s="398">
        <v>200</v>
      </c>
      <c r="D424" s="399">
        <v>0</v>
      </c>
      <c r="E424" s="398">
        <f t="shared" si="6"/>
        <v>0</v>
      </c>
    </row>
    <row r="425" spans="1:5" ht="15.75" thickBot="1" x14ac:dyDescent="0.25">
      <c r="A425" s="394" t="s">
        <v>756</v>
      </c>
      <c r="B425" s="395" t="s">
        <v>199</v>
      </c>
      <c r="C425" s="398">
        <v>100</v>
      </c>
      <c r="D425" s="399">
        <v>0</v>
      </c>
      <c r="E425" s="398">
        <f t="shared" si="6"/>
        <v>0</v>
      </c>
    </row>
    <row r="426" spans="1:5" s="402" customFormat="1" ht="16.5" thickBot="1" x14ac:dyDescent="0.25">
      <c r="A426" s="439" t="s">
        <v>371</v>
      </c>
      <c r="B426" s="440"/>
      <c r="C426" s="440"/>
      <c r="D426" s="441"/>
      <c r="E426" s="401">
        <f>SUM(E404:E425)</f>
        <v>0</v>
      </c>
    </row>
    <row r="427" spans="1:5" ht="16.5" thickBot="1" x14ac:dyDescent="0.25">
      <c r="A427" s="436" t="s">
        <v>757</v>
      </c>
      <c r="B427" s="437"/>
      <c r="C427" s="437"/>
      <c r="D427" s="437"/>
      <c r="E427" s="438"/>
    </row>
    <row r="428" spans="1:5" ht="15.75" thickBot="1" x14ac:dyDescent="0.25">
      <c r="A428" s="394" t="s">
        <v>758</v>
      </c>
      <c r="B428" s="395" t="s">
        <v>431</v>
      </c>
      <c r="C428" s="396">
        <v>200</v>
      </c>
      <c r="D428" s="397">
        <v>0</v>
      </c>
      <c r="E428" s="396">
        <f t="shared" si="6"/>
        <v>0</v>
      </c>
    </row>
    <row r="429" spans="1:5" ht="15.75" thickBot="1" x14ac:dyDescent="0.25">
      <c r="A429" s="394" t="s">
        <v>759</v>
      </c>
      <c r="B429" s="395" t="s">
        <v>431</v>
      </c>
      <c r="C429" s="398">
        <v>100</v>
      </c>
      <c r="D429" s="399">
        <v>0</v>
      </c>
      <c r="E429" s="398">
        <f t="shared" si="6"/>
        <v>0</v>
      </c>
    </row>
    <row r="430" spans="1:5" ht="15.75" thickBot="1" x14ac:dyDescent="0.25">
      <c r="A430" s="394" t="s">
        <v>760</v>
      </c>
      <c r="B430" s="395" t="s">
        <v>431</v>
      </c>
      <c r="C430" s="398">
        <v>200</v>
      </c>
      <c r="D430" s="399">
        <v>0</v>
      </c>
      <c r="E430" s="398">
        <f t="shared" si="6"/>
        <v>0</v>
      </c>
    </row>
    <row r="431" spans="1:5" ht="15.75" thickBot="1" x14ac:dyDescent="0.25">
      <c r="A431" s="394" t="s">
        <v>761</v>
      </c>
      <c r="B431" s="395" t="s">
        <v>339</v>
      </c>
      <c r="C431" s="398">
        <v>300</v>
      </c>
      <c r="D431" s="399">
        <v>0</v>
      </c>
      <c r="E431" s="398">
        <f t="shared" si="6"/>
        <v>0</v>
      </c>
    </row>
    <row r="432" spans="1:5" ht="15.75" thickBot="1" x14ac:dyDescent="0.25">
      <c r="A432" s="394" t="s">
        <v>762</v>
      </c>
      <c r="B432" s="395" t="s">
        <v>536</v>
      </c>
      <c r="C432" s="398">
        <v>120</v>
      </c>
      <c r="D432" s="399">
        <v>0</v>
      </c>
      <c r="E432" s="398">
        <f t="shared" si="6"/>
        <v>0</v>
      </c>
    </row>
    <row r="433" spans="1:5" ht="15.75" thickBot="1" x14ac:dyDescent="0.25">
      <c r="A433" s="394" t="s">
        <v>763</v>
      </c>
      <c r="B433" s="395" t="s">
        <v>339</v>
      </c>
      <c r="C433" s="398">
        <v>150</v>
      </c>
      <c r="D433" s="399">
        <v>0</v>
      </c>
      <c r="E433" s="398">
        <f t="shared" si="6"/>
        <v>0</v>
      </c>
    </row>
    <row r="434" spans="1:5" ht="15.75" thickBot="1" x14ac:dyDescent="0.25">
      <c r="A434" s="394" t="s">
        <v>764</v>
      </c>
      <c r="B434" s="395" t="s">
        <v>339</v>
      </c>
      <c r="C434" s="398">
        <v>200</v>
      </c>
      <c r="D434" s="399">
        <v>0</v>
      </c>
      <c r="E434" s="398">
        <f t="shared" si="6"/>
        <v>0</v>
      </c>
    </row>
    <row r="435" spans="1:5" ht="15.75" thickBot="1" x14ac:dyDescent="0.25">
      <c r="A435" s="394" t="s">
        <v>765</v>
      </c>
      <c r="B435" s="395" t="s">
        <v>431</v>
      </c>
      <c r="C435" s="398">
        <v>80</v>
      </c>
      <c r="D435" s="399">
        <v>0</v>
      </c>
      <c r="E435" s="398">
        <f t="shared" si="6"/>
        <v>0</v>
      </c>
    </row>
    <row r="436" spans="1:5" ht="15.75" thickBot="1" x14ac:dyDescent="0.25">
      <c r="A436" s="394" t="s">
        <v>766</v>
      </c>
      <c r="B436" s="395" t="s">
        <v>339</v>
      </c>
      <c r="C436" s="398">
        <v>100</v>
      </c>
      <c r="D436" s="399">
        <v>0</v>
      </c>
      <c r="E436" s="398">
        <f t="shared" si="6"/>
        <v>0</v>
      </c>
    </row>
    <row r="437" spans="1:5" ht="15.75" thickBot="1" x14ac:dyDescent="0.25">
      <c r="A437" s="394" t="s">
        <v>767</v>
      </c>
      <c r="B437" s="395" t="s">
        <v>339</v>
      </c>
      <c r="C437" s="398">
        <v>160</v>
      </c>
      <c r="D437" s="399">
        <v>0</v>
      </c>
      <c r="E437" s="398">
        <f t="shared" si="6"/>
        <v>0</v>
      </c>
    </row>
    <row r="438" spans="1:5" ht="15.75" thickBot="1" x14ac:dyDescent="0.25">
      <c r="A438" s="394" t="s">
        <v>768</v>
      </c>
      <c r="B438" s="395" t="s">
        <v>339</v>
      </c>
      <c r="C438" s="398">
        <v>200</v>
      </c>
      <c r="D438" s="399">
        <v>0</v>
      </c>
      <c r="E438" s="398">
        <f t="shared" si="6"/>
        <v>0</v>
      </c>
    </row>
    <row r="439" spans="1:5" ht="15.75" thickBot="1" x14ac:dyDescent="0.25">
      <c r="A439" s="394" t="s">
        <v>769</v>
      </c>
      <c r="B439" s="395" t="s">
        <v>339</v>
      </c>
      <c r="C439" s="398">
        <v>200</v>
      </c>
      <c r="D439" s="399">
        <v>0</v>
      </c>
      <c r="E439" s="398">
        <f t="shared" si="6"/>
        <v>0</v>
      </c>
    </row>
    <row r="440" spans="1:5" ht="15.75" thickBot="1" x14ac:dyDescent="0.25">
      <c r="A440" s="394" t="s">
        <v>770</v>
      </c>
      <c r="B440" s="395" t="s">
        <v>431</v>
      </c>
      <c r="C440" s="398">
        <v>320</v>
      </c>
      <c r="D440" s="399">
        <v>0</v>
      </c>
      <c r="E440" s="398">
        <f t="shared" si="6"/>
        <v>0</v>
      </c>
    </row>
    <row r="441" spans="1:5" ht="15.75" thickBot="1" x14ac:dyDescent="0.25">
      <c r="A441" s="394" t="s">
        <v>771</v>
      </c>
      <c r="B441" s="395" t="s">
        <v>339</v>
      </c>
      <c r="C441" s="398">
        <v>220</v>
      </c>
      <c r="D441" s="399">
        <v>0</v>
      </c>
      <c r="E441" s="398">
        <f t="shared" si="6"/>
        <v>0</v>
      </c>
    </row>
    <row r="442" spans="1:5" ht="15.75" thickBot="1" x14ac:dyDescent="0.25">
      <c r="A442" s="394" t="s">
        <v>772</v>
      </c>
      <c r="B442" s="395" t="s">
        <v>339</v>
      </c>
      <c r="C442" s="398">
        <v>440</v>
      </c>
      <c r="D442" s="399">
        <v>0</v>
      </c>
      <c r="E442" s="398">
        <f t="shared" si="6"/>
        <v>0</v>
      </c>
    </row>
    <row r="443" spans="1:5" ht="15.75" thickBot="1" x14ac:dyDescent="0.25">
      <c r="A443" s="394" t="s">
        <v>773</v>
      </c>
      <c r="B443" s="395" t="s">
        <v>339</v>
      </c>
      <c r="C443" s="398">
        <v>80</v>
      </c>
      <c r="D443" s="399">
        <v>0</v>
      </c>
      <c r="E443" s="398">
        <f t="shared" si="6"/>
        <v>0</v>
      </c>
    </row>
    <row r="444" spans="1:5" ht="15.75" thickBot="1" x14ac:dyDescent="0.25">
      <c r="A444" s="394" t="s">
        <v>774</v>
      </c>
      <c r="B444" s="395" t="s">
        <v>240</v>
      </c>
      <c r="C444" s="398">
        <v>100</v>
      </c>
      <c r="D444" s="399">
        <v>0</v>
      </c>
      <c r="E444" s="398">
        <f t="shared" si="6"/>
        <v>0</v>
      </c>
    </row>
    <row r="445" spans="1:5" ht="15.75" thickBot="1" x14ac:dyDescent="0.25">
      <c r="A445" s="394" t="s">
        <v>775</v>
      </c>
      <c r="B445" s="395" t="s">
        <v>339</v>
      </c>
      <c r="C445" s="398">
        <v>240</v>
      </c>
      <c r="D445" s="399">
        <v>0</v>
      </c>
      <c r="E445" s="398">
        <f t="shared" si="6"/>
        <v>0</v>
      </c>
    </row>
    <row r="446" spans="1:5" ht="15.75" thickBot="1" x14ac:dyDescent="0.25">
      <c r="A446" s="394" t="s">
        <v>776</v>
      </c>
      <c r="B446" s="395" t="s">
        <v>339</v>
      </c>
      <c r="C446" s="398">
        <v>240</v>
      </c>
      <c r="D446" s="399">
        <v>0</v>
      </c>
      <c r="E446" s="398">
        <f t="shared" si="6"/>
        <v>0</v>
      </c>
    </row>
    <row r="447" spans="1:5" ht="15.75" thickBot="1" x14ac:dyDescent="0.25">
      <c r="A447" s="394" t="s">
        <v>777</v>
      </c>
      <c r="B447" s="395" t="s">
        <v>339</v>
      </c>
      <c r="C447" s="398">
        <v>200</v>
      </c>
      <c r="D447" s="399">
        <v>0</v>
      </c>
      <c r="E447" s="398">
        <f t="shared" si="6"/>
        <v>0</v>
      </c>
    </row>
    <row r="448" spans="1:5" ht="15.75" thickBot="1" x14ac:dyDescent="0.25">
      <c r="A448" s="394" t="s">
        <v>778</v>
      </c>
      <c r="B448" s="395" t="s">
        <v>339</v>
      </c>
      <c r="C448" s="398">
        <v>200</v>
      </c>
      <c r="D448" s="399">
        <v>0</v>
      </c>
      <c r="E448" s="398">
        <f t="shared" si="6"/>
        <v>0</v>
      </c>
    </row>
    <row r="449" spans="1:5" ht="15.75" thickBot="1" x14ac:dyDescent="0.25">
      <c r="A449" s="394" t="s">
        <v>779</v>
      </c>
      <c r="B449" s="395" t="s">
        <v>444</v>
      </c>
      <c r="C449" s="398">
        <v>300</v>
      </c>
      <c r="D449" s="399">
        <v>0</v>
      </c>
      <c r="E449" s="398">
        <f t="shared" si="6"/>
        <v>0</v>
      </c>
    </row>
    <row r="450" spans="1:5" ht="15.75" thickBot="1" x14ac:dyDescent="0.25">
      <c r="A450" s="394" t="s">
        <v>780</v>
      </c>
      <c r="B450" s="395" t="s">
        <v>199</v>
      </c>
      <c r="C450" s="398">
        <v>360</v>
      </c>
      <c r="D450" s="399">
        <v>0</v>
      </c>
      <c r="E450" s="398">
        <f t="shared" si="6"/>
        <v>0</v>
      </c>
    </row>
    <row r="451" spans="1:5" ht="15.75" thickBot="1" x14ac:dyDescent="0.25">
      <c r="A451" s="394" t="s">
        <v>781</v>
      </c>
      <c r="B451" s="395" t="s">
        <v>199</v>
      </c>
      <c r="C451" s="398">
        <v>300</v>
      </c>
      <c r="D451" s="399">
        <v>0</v>
      </c>
      <c r="E451" s="398">
        <f t="shared" si="6"/>
        <v>0</v>
      </c>
    </row>
    <row r="452" spans="1:5" ht="15.75" thickBot="1" x14ac:dyDescent="0.25">
      <c r="A452" s="394" t="s">
        <v>782</v>
      </c>
      <c r="B452" s="395" t="s">
        <v>444</v>
      </c>
      <c r="C452" s="398">
        <v>180</v>
      </c>
      <c r="D452" s="399">
        <v>0</v>
      </c>
      <c r="E452" s="398">
        <f t="shared" ref="E452:E515" si="7">PRODUCT(D452,C452)</f>
        <v>0</v>
      </c>
    </row>
    <row r="453" spans="1:5" ht="15.75" thickBot="1" x14ac:dyDescent="0.25">
      <c r="A453" s="394" t="s">
        <v>783</v>
      </c>
      <c r="B453" s="395" t="s">
        <v>444</v>
      </c>
      <c r="C453" s="398">
        <v>150</v>
      </c>
      <c r="D453" s="399">
        <v>0</v>
      </c>
      <c r="E453" s="398">
        <f t="shared" si="7"/>
        <v>0</v>
      </c>
    </row>
    <row r="454" spans="1:5" ht="15.75" thickBot="1" x14ac:dyDescent="0.25">
      <c r="A454" s="394" t="s">
        <v>784</v>
      </c>
      <c r="B454" s="395" t="s">
        <v>444</v>
      </c>
      <c r="C454" s="398">
        <v>180</v>
      </c>
      <c r="D454" s="399">
        <v>0</v>
      </c>
      <c r="E454" s="398">
        <f t="shared" si="7"/>
        <v>0</v>
      </c>
    </row>
    <row r="455" spans="1:5" ht="15.75" thickBot="1" x14ac:dyDescent="0.25">
      <c r="A455" s="394" t="s">
        <v>785</v>
      </c>
      <c r="B455" s="395" t="s">
        <v>444</v>
      </c>
      <c r="C455" s="398">
        <v>240</v>
      </c>
      <c r="D455" s="399">
        <v>0</v>
      </c>
      <c r="E455" s="398">
        <f t="shared" si="7"/>
        <v>0</v>
      </c>
    </row>
    <row r="456" spans="1:5" ht="15.75" thickBot="1" x14ac:dyDescent="0.25">
      <c r="A456" s="394" t="s">
        <v>786</v>
      </c>
      <c r="B456" s="395" t="s">
        <v>199</v>
      </c>
      <c r="C456" s="398">
        <v>360</v>
      </c>
      <c r="D456" s="399">
        <v>0</v>
      </c>
      <c r="E456" s="398">
        <f t="shared" si="7"/>
        <v>0</v>
      </c>
    </row>
    <row r="457" spans="1:5" ht="30.75" thickBot="1" x14ac:dyDescent="0.25">
      <c r="A457" s="394" t="s">
        <v>787</v>
      </c>
      <c r="B457" s="395" t="s">
        <v>199</v>
      </c>
      <c r="C457" s="398">
        <v>240</v>
      </c>
      <c r="D457" s="399">
        <v>0</v>
      </c>
      <c r="E457" s="398">
        <f t="shared" si="7"/>
        <v>0</v>
      </c>
    </row>
    <row r="458" spans="1:5" ht="15.75" thickBot="1" x14ac:dyDescent="0.25">
      <c r="A458" s="394" t="s">
        <v>788</v>
      </c>
      <c r="B458" s="395" t="s">
        <v>199</v>
      </c>
      <c r="C458" s="398">
        <v>120</v>
      </c>
      <c r="D458" s="399">
        <v>0</v>
      </c>
      <c r="E458" s="398">
        <f t="shared" si="7"/>
        <v>0</v>
      </c>
    </row>
    <row r="459" spans="1:5" ht="15.75" thickBot="1" x14ac:dyDescent="0.25">
      <c r="A459" s="394" t="s">
        <v>789</v>
      </c>
      <c r="B459" s="395" t="s">
        <v>199</v>
      </c>
      <c r="C459" s="398">
        <v>160</v>
      </c>
      <c r="D459" s="399">
        <v>0</v>
      </c>
      <c r="E459" s="398">
        <f t="shared" si="7"/>
        <v>0</v>
      </c>
    </row>
    <row r="460" spans="1:5" ht="15.75" thickBot="1" x14ac:dyDescent="0.25">
      <c r="A460" s="394" t="s">
        <v>790</v>
      </c>
      <c r="B460" s="395" t="s">
        <v>199</v>
      </c>
      <c r="C460" s="398">
        <v>90</v>
      </c>
      <c r="D460" s="399">
        <v>0</v>
      </c>
      <c r="E460" s="398">
        <f t="shared" si="7"/>
        <v>0</v>
      </c>
    </row>
    <row r="461" spans="1:5" ht="15.75" thickBot="1" x14ac:dyDescent="0.25">
      <c r="A461" s="394" t="s">
        <v>791</v>
      </c>
      <c r="B461" s="395" t="s">
        <v>199</v>
      </c>
      <c r="C461" s="398">
        <v>200</v>
      </c>
      <c r="D461" s="399">
        <v>0</v>
      </c>
      <c r="E461" s="398">
        <f t="shared" si="7"/>
        <v>0</v>
      </c>
    </row>
    <row r="462" spans="1:5" ht="15.75" thickBot="1" x14ac:dyDescent="0.25">
      <c r="A462" s="394" t="s">
        <v>792</v>
      </c>
      <c r="B462" s="395" t="s">
        <v>199</v>
      </c>
      <c r="C462" s="398">
        <v>300</v>
      </c>
      <c r="D462" s="399">
        <v>0</v>
      </c>
      <c r="E462" s="398">
        <f t="shared" si="7"/>
        <v>0</v>
      </c>
    </row>
    <row r="463" spans="1:5" ht="15.75" thickBot="1" x14ac:dyDescent="0.25">
      <c r="A463" s="394" t="s">
        <v>793</v>
      </c>
      <c r="B463" s="395" t="s">
        <v>199</v>
      </c>
      <c r="C463" s="398">
        <v>180</v>
      </c>
      <c r="D463" s="399">
        <v>0</v>
      </c>
      <c r="E463" s="398">
        <f t="shared" si="7"/>
        <v>0</v>
      </c>
    </row>
    <row r="464" spans="1:5" ht="15.75" thickBot="1" x14ac:dyDescent="0.25">
      <c r="A464" s="394" t="s">
        <v>794</v>
      </c>
      <c r="B464" s="395" t="s">
        <v>444</v>
      </c>
      <c r="C464" s="398">
        <v>150</v>
      </c>
      <c r="D464" s="399">
        <v>0</v>
      </c>
      <c r="E464" s="398">
        <f t="shared" si="7"/>
        <v>0</v>
      </c>
    </row>
    <row r="465" spans="1:5" ht="18.75" customHeight="1" thickBot="1" x14ac:dyDescent="0.25">
      <c r="A465" s="394" t="s">
        <v>795</v>
      </c>
      <c r="B465" s="395" t="s">
        <v>444</v>
      </c>
      <c r="C465" s="398">
        <v>170</v>
      </c>
      <c r="D465" s="399">
        <v>0</v>
      </c>
      <c r="E465" s="398">
        <f t="shared" si="7"/>
        <v>0</v>
      </c>
    </row>
    <row r="466" spans="1:5" ht="15.75" thickBot="1" x14ac:dyDescent="0.25">
      <c r="A466" s="394" t="s">
        <v>796</v>
      </c>
      <c r="B466" s="395" t="s">
        <v>199</v>
      </c>
      <c r="C466" s="398">
        <v>720</v>
      </c>
      <c r="D466" s="399">
        <v>0</v>
      </c>
      <c r="E466" s="398">
        <f t="shared" si="7"/>
        <v>0</v>
      </c>
    </row>
    <row r="467" spans="1:5" ht="15.75" thickBot="1" x14ac:dyDescent="0.25">
      <c r="A467" s="394" t="s">
        <v>797</v>
      </c>
      <c r="B467" s="395" t="s">
        <v>199</v>
      </c>
      <c r="C467" s="398">
        <v>170</v>
      </c>
      <c r="D467" s="399">
        <v>0</v>
      </c>
      <c r="E467" s="398">
        <f t="shared" si="7"/>
        <v>0</v>
      </c>
    </row>
    <row r="468" spans="1:5" ht="15.75" thickBot="1" x14ac:dyDescent="0.25">
      <c r="A468" s="394" t="s">
        <v>798</v>
      </c>
      <c r="B468" s="395" t="s">
        <v>199</v>
      </c>
      <c r="C468" s="398">
        <v>180</v>
      </c>
      <c r="D468" s="399">
        <v>0</v>
      </c>
      <c r="E468" s="398">
        <f t="shared" si="7"/>
        <v>0</v>
      </c>
    </row>
    <row r="469" spans="1:5" ht="15.75" thickBot="1" x14ac:dyDescent="0.25">
      <c r="A469" s="394" t="s">
        <v>799</v>
      </c>
      <c r="B469" s="395" t="s">
        <v>199</v>
      </c>
      <c r="C469" s="398">
        <v>190</v>
      </c>
      <c r="D469" s="399">
        <v>0</v>
      </c>
      <c r="E469" s="398">
        <f t="shared" si="7"/>
        <v>0</v>
      </c>
    </row>
    <row r="470" spans="1:5" s="402" customFormat="1" ht="16.5" thickBot="1" x14ac:dyDescent="0.25">
      <c r="A470" s="439" t="s">
        <v>371</v>
      </c>
      <c r="B470" s="440"/>
      <c r="C470" s="440"/>
      <c r="D470" s="441"/>
      <c r="E470" s="401">
        <f>SUM(E428:E469)</f>
        <v>0</v>
      </c>
    </row>
    <row r="471" spans="1:5" ht="16.5" thickBot="1" x14ac:dyDescent="0.25">
      <c r="A471" s="436" t="s">
        <v>800</v>
      </c>
      <c r="B471" s="437"/>
      <c r="C471" s="437"/>
      <c r="D471" s="437"/>
      <c r="E471" s="438"/>
    </row>
    <row r="472" spans="1:5" ht="15.75" thickBot="1" x14ac:dyDescent="0.25">
      <c r="A472" s="394" t="s">
        <v>801</v>
      </c>
      <c r="B472" s="395" t="s">
        <v>341</v>
      </c>
      <c r="C472" s="396">
        <v>900</v>
      </c>
      <c r="D472" s="397">
        <v>0</v>
      </c>
      <c r="E472" s="396">
        <f t="shared" si="7"/>
        <v>0</v>
      </c>
    </row>
    <row r="473" spans="1:5" ht="15.75" thickBot="1" x14ac:dyDescent="0.25">
      <c r="A473" s="394" t="s">
        <v>802</v>
      </c>
      <c r="B473" s="395" t="s">
        <v>341</v>
      </c>
      <c r="C473" s="398">
        <v>400</v>
      </c>
      <c r="D473" s="399">
        <v>0</v>
      </c>
      <c r="E473" s="398">
        <f t="shared" si="7"/>
        <v>0</v>
      </c>
    </row>
    <row r="474" spans="1:5" ht="15.75" thickBot="1" x14ac:dyDescent="0.25">
      <c r="A474" s="394" t="s">
        <v>803</v>
      </c>
      <c r="B474" s="395" t="s">
        <v>341</v>
      </c>
      <c r="C474" s="398">
        <v>300</v>
      </c>
      <c r="D474" s="399">
        <v>0</v>
      </c>
      <c r="E474" s="398">
        <f t="shared" si="7"/>
        <v>0</v>
      </c>
    </row>
    <row r="475" spans="1:5" ht="15.75" thickBot="1" x14ac:dyDescent="0.25">
      <c r="A475" s="394" t="s">
        <v>804</v>
      </c>
      <c r="B475" s="395" t="s">
        <v>431</v>
      </c>
      <c r="C475" s="398">
        <v>90</v>
      </c>
      <c r="D475" s="399">
        <v>0</v>
      </c>
      <c r="E475" s="398">
        <f t="shared" si="7"/>
        <v>0</v>
      </c>
    </row>
    <row r="476" spans="1:5" ht="15.75" thickBot="1" x14ac:dyDescent="0.25">
      <c r="A476" s="394" t="s">
        <v>805</v>
      </c>
      <c r="B476" s="395" t="s">
        <v>431</v>
      </c>
      <c r="C476" s="398">
        <v>90</v>
      </c>
      <c r="D476" s="399">
        <v>0</v>
      </c>
      <c r="E476" s="398">
        <f t="shared" si="7"/>
        <v>0</v>
      </c>
    </row>
    <row r="477" spans="1:5" ht="15.75" thickBot="1" x14ac:dyDescent="0.25">
      <c r="A477" s="394" t="s">
        <v>806</v>
      </c>
      <c r="B477" s="395" t="s">
        <v>431</v>
      </c>
      <c r="C477" s="398">
        <v>100</v>
      </c>
      <c r="D477" s="399">
        <v>0</v>
      </c>
      <c r="E477" s="398">
        <f t="shared" si="7"/>
        <v>0</v>
      </c>
    </row>
    <row r="478" spans="1:5" ht="15.75" thickBot="1" x14ac:dyDescent="0.25">
      <c r="A478" s="394" t="s">
        <v>807</v>
      </c>
      <c r="B478" s="395" t="s">
        <v>341</v>
      </c>
      <c r="C478" s="398">
        <v>20</v>
      </c>
      <c r="D478" s="399">
        <v>3</v>
      </c>
      <c r="E478" s="398">
        <f t="shared" si="7"/>
        <v>60</v>
      </c>
    </row>
    <row r="479" spans="1:5" ht="15.75" thickBot="1" x14ac:dyDescent="0.25">
      <c r="A479" s="394" t="s">
        <v>808</v>
      </c>
      <c r="B479" s="395" t="s">
        <v>341</v>
      </c>
      <c r="C479" s="398">
        <v>30</v>
      </c>
      <c r="D479" s="399">
        <v>3</v>
      </c>
      <c r="E479" s="398">
        <f t="shared" si="7"/>
        <v>90</v>
      </c>
    </row>
    <row r="480" spans="1:5" ht="15.75" thickBot="1" x14ac:dyDescent="0.25">
      <c r="A480" s="394" t="s">
        <v>809</v>
      </c>
      <c r="B480" s="395" t="s">
        <v>341</v>
      </c>
      <c r="C480" s="398">
        <v>30</v>
      </c>
      <c r="D480" s="399">
        <v>0</v>
      </c>
      <c r="E480" s="398">
        <f t="shared" si="7"/>
        <v>0</v>
      </c>
    </row>
    <row r="481" spans="1:5" ht="15.75" thickBot="1" x14ac:dyDescent="0.25">
      <c r="A481" s="394" t="s">
        <v>810</v>
      </c>
      <c r="B481" s="395" t="s">
        <v>341</v>
      </c>
      <c r="C481" s="398">
        <v>30</v>
      </c>
      <c r="D481" s="399">
        <v>0</v>
      </c>
      <c r="E481" s="398">
        <f t="shared" si="7"/>
        <v>0</v>
      </c>
    </row>
    <row r="482" spans="1:5" ht="15.75" thickBot="1" x14ac:dyDescent="0.25">
      <c r="A482" s="394" t="s">
        <v>811</v>
      </c>
      <c r="B482" s="395" t="s">
        <v>341</v>
      </c>
      <c r="C482" s="398">
        <v>30</v>
      </c>
      <c r="D482" s="399">
        <v>0</v>
      </c>
      <c r="E482" s="398">
        <f t="shared" si="7"/>
        <v>0</v>
      </c>
    </row>
    <row r="483" spans="1:5" ht="15.75" thickBot="1" x14ac:dyDescent="0.25">
      <c r="A483" s="394" t="s">
        <v>812</v>
      </c>
      <c r="B483" s="395" t="s">
        <v>341</v>
      </c>
      <c r="C483" s="398">
        <v>30</v>
      </c>
      <c r="D483" s="399">
        <v>0</v>
      </c>
      <c r="E483" s="398">
        <f t="shared" si="7"/>
        <v>0</v>
      </c>
    </row>
    <row r="484" spans="1:5" ht="15.75" thickBot="1" x14ac:dyDescent="0.25">
      <c r="A484" s="394" t="s">
        <v>813</v>
      </c>
      <c r="B484" s="395" t="s">
        <v>341</v>
      </c>
      <c r="C484" s="398">
        <v>30</v>
      </c>
      <c r="D484" s="399">
        <v>0</v>
      </c>
      <c r="E484" s="398">
        <f t="shared" si="7"/>
        <v>0</v>
      </c>
    </row>
    <row r="485" spans="1:5" ht="15.75" thickBot="1" x14ac:dyDescent="0.25">
      <c r="A485" s="394" t="s">
        <v>814</v>
      </c>
      <c r="B485" s="395" t="s">
        <v>341</v>
      </c>
      <c r="C485" s="398">
        <v>44</v>
      </c>
      <c r="D485" s="399">
        <v>0</v>
      </c>
      <c r="E485" s="398">
        <f t="shared" si="7"/>
        <v>0</v>
      </c>
    </row>
    <row r="486" spans="1:5" ht="15.75" thickBot="1" x14ac:dyDescent="0.25">
      <c r="A486" s="394" t="s">
        <v>815</v>
      </c>
      <c r="B486" s="395" t="s">
        <v>341</v>
      </c>
      <c r="C486" s="398">
        <v>50</v>
      </c>
      <c r="D486" s="399">
        <v>0</v>
      </c>
      <c r="E486" s="398">
        <f t="shared" si="7"/>
        <v>0</v>
      </c>
    </row>
    <row r="487" spans="1:5" ht="15.75" thickBot="1" x14ac:dyDescent="0.25">
      <c r="A487" s="394" t="s">
        <v>816</v>
      </c>
      <c r="B487" s="395" t="s">
        <v>341</v>
      </c>
      <c r="C487" s="398">
        <v>500</v>
      </c>
      <c r="D487" s="399">
        <v>0</v>
      </c>
      <c r="E487" s="398">
        <f t="shared" si="7"/>
        <v>0</v>
      </c>
    </row>
    <row r="488" spans="1:5" ht="15.75" thickBot="1" x14ac:dyDescent="0.25">
      <c r="A488" s="394" t="s">
        <v>817</v>
      </c>
      <c r="B488" s="395" t="s">
        <v>341</v>
      </c>
      <c r="C488" s="398">
        <v>3000</v>
      </c>
      <c r="D488" s="399">
        <v>0</v>
      </c>
      <c r="E488" s="398">
        <f t="shared" si="7"/>
        <v>0</v>
      </c>
    </row>
    <row r="489" spans="1:5" ht="15.75" thickBot="1" x14ac:dyDescent="0.25">
      <c r="A489" s="394" t="s">
        <v>818</v>
      </c>
      <c r="B489" s="395" t="s">
        <v>431</v>
      </c>
      <c r="C489" s="398">
        <v>150</v>
      </c>
      <c r="D489" s="399">
        <v>0</v>
      </c>
      <c r="E489" s="398">
        <f t="shared" si="7"/>
        <v>0</v>
      </c>
    </row>
    <row r="490" spans="1:5" ht="15.75" thickBot="1" x14ac:dyDescent="0.25">
      <c r="A490" s="394" t="s">
        <v>819</v>
      </c>
      <c r="B490" s="395" t="s">
        <v>431</v>
      </c>
      <c r="C490" s="398">
        <v>100</v>
      </c>
      <c r="D490" s="399">
        <v>0</v>
      </c>
      <c r="E490" s="398">
        <f t="shared" si="7"/>
        <v>0</v>
      </c>
    </row>
    <row r="491" spans="1:5" ht="15.75" thickBot="1" x14ac:dyDescent="0.25">
      <c r="A491" s="394" t="s">
        <v>820</v>
      </c>
      <c r="B491" s="395" t="s">
        <v>431</v>
      </c>
      <c r="C491" s="398">
        <v>100</v>
      </c>
      <c r="D491" s="399">
        <v>0</v>
      </c>
      <c r="E491" s="398">
        <f t="shared" si="7"/>
        <v>0</v>
      </c>
    </row>
    <row r="492" spans="1:5" ht="15.75" thickBot="1" x14ac:dyDescent="0.25">
      <c r="A492" s="394" t="s">
        <v>821</v>
      </c>
      <c r="B492" s="395" t="s">
        <v>341</v>
      </c>
      <c r="C492" s="398">
        <v>40</v>
      </c>
      <c r="D492" s="399">
        <v>0</v>
      </c>
      <c r="E492" s="398">
        <f t="shared" si="7"/>
        <v>0</v>
      </c>
    </row>
    <row r="493" spans="1:5" ht="15.75" thickBot="1" x14ac:dyDescent="0.25">
      <c r="A493" s="394" t="s">
        <v>822</v>
      </c>
      <c r="B493" s="395" t="s">
        <v>341</v>
      </c>
      <c r="C493" s="398">
        <v>40</v>
      </c>
      <c r="D493" s="399">
        <v>0</v>
      </c>
      <c r="E493" s="398">
        <f t="shared" si="7"/>
        <v>0</v>
      </c>
    </row>
    <row r="494" spans="1:5" ht="15.75" thickBot="1" x14ac:dyDescent="0.25">
      <c r="A494" s="394" t="s">
        <v>823</v>
      </c>
      <c r="B494" s="395" t="s">
        <v>341</v>
      </c>
      <c r="C494" s="398">
        <v>50</v>
      </c>
      <c r="D494" s="399">
        <v>0</v>
      </c>
      <c r="E494" s="398">
        <f t="shared" si="7"/>
        <v>0</v>
      </c>
    </row>
    <row r="495" spans="1:5" ht="15.75" thickBot="1" x14ac:dyDescent="0.25">
      <c r="A495" s="394" t="s">
        <v>824</v>
      </c>
      <c r="B495" s="395" t="s">
        <v>341</v>
      </c>
      <c r="C495" s="398">
        <v>50</v>
      </c>
      <c r="D495" s="399">
        <v>0</v>
      </c>
      <c r="E495" s="398">
        <f t="shared" si="7"/>
        <v>0</v>
      </c>
    </row>
    <row r="496" spans="1:5" ht="15.75" thickBot="1" x14ac:dyDescent="0.25">
      <c r="A496" s="394" t="s">
        <v>816</v>
      </c>
      <c r="B496" s="395" t="s">
        <v>341</v>
      </c>
      <c r="C496" s="398">
        <v>560</v>
      </c>
      <c r="D496" s="399">
        <v>0</v>
      </c>
      <c r="E496" s="398">
        <f t="shared" si="7"/>
        <v>0</v>
      </c>
    </row>
    <row r="497" spans="1:5" ht="15.75" thickBot="1" x14ac:dyDescent="0.25">
      <c r="A497" s="394" t="s">
        <v>825</v>
      </c>
      <c r="B497" s="395" t="s">
        <v>431</v>
      </c>
      <c r="C497" s="398">
        <v>60</v>
      </c>
      <c r="D497" s="399">
        <v>0</v>
      </c>
      <c r="E497" s="398">
        <f t="shared" si="7"/>
        <v>0</v>
      </c>
    </row>
    <row r="498" spans="1:5" ht="15.75" thickBot="1" x14ac:dyDescent="0.25">
      <c r="A498" s="394" t="s">
        <v>826</v>
      </c>
      <c r="B498" s="395" t="s">
        <v>341</v>
      </c>
      <c r="C498" s="398">
        <v>50</v>
      </c>
      <c r="D498" s="399">
        <v>0</v>
      </c>
      <c r="E498" s="398">
        <f t="shared" si="7"/>
        <v>0</v>
      </c>
    </row>
    <row r="499" spans="1:5" ht="15.75" thickBot="1" x14ac:dyDescent="0.25">
      <c r="A499" s="394" t="s">
        <v>827</v>
      </c>
      <c r="B499" s="395" t="s">
        <v>341</v>
      </c>
      <c r="C499" s="398">
        <v>50</v>
      </c>
      <c r="D499" s="399">
        <v>0</v>
      </c>
      <c r="E499" s="398">
        <f t="shared" si="7"/>
        <v>0</v>
      </c>
    </row>
    <row r="500" spans="1:5" ht="15.75" thickBot="1" x14ac:dyDescent="0.25">
      <c r="A500" s="394" t="s">
        <v>828</v>
      </c>
      <c r="B500" s="395" t="s">
        <v>341</v>
      </c>
      <c r="C500" s="398">
        <v>50</v>
      </c>
      <c r="D500" s="399">
        <v>0</v>
      </c>
      <c r="E500" s="398">
        <f t="shared" si="7"/>
        <v>0</v>
      </c>
    </row>
    <row r="501" spans="1:5" ht="15.75" thickBot="1" x14ac:dyDescent="0.25">
      <c r="A501" s="394" t="s">
        <v>829</v>
      </c>
      <c r="B501" s="395" t="s">
        <v>341</v>
      </c>
      <c r="C501" s="398">
        <v>60</v>
      </c>
      <c r="D501" s="399">
        <v>0</v>
      </c>
      <c r="E501" s="398">
        <f t="shared" si="7"/>
        <v>0</v>
      </c>
    </row>
    <row r="502" spans="1:5" ht="15.75" thickBot="1" x14ac:dyDescent="0.25">
      <c r="A502" s="394" t="s">
        <v>830</v>
      </c>
      <c r="B502" s="395" t="s">
        <v>341</v>
      </c>
      <c r="C502" s="398">
        <v>100</v>
      </c>
      <c r="D502" s="399">
        <v>0</v>
      </c>
      <c r="E502" s="398">
        <f t="shared" si="7"/>
        <v>0</v>
      </c>
    </row>
    <row r="503" spans="1:5" ht="15.75" thickBot="1" x14ac:dyDescent="0.25">
      <c r="A503" s="394" t="s">
        <v>831</v>
      </c>
      <c r="B503" s="395" t="s">
        <v>341</v>
      </c>
      <c r="C503" s="398">
        <v>140</v>
      </c>
      <c r="D503" s="399">
        <v>0</v>
      </c>
      <c r="E503" s="398">
        <f t="shared" si="7"/>
        <v>0</v>
      </c>
    </row>
    <row r="504" spans="1:5" ht="15.75" thickBot="1" x14ac:dyDescent="0.25">
      <c r="A504" s="394" t="s">
        <v>832</v>
      </c>
      <c r="B504" s="395" t="s">
        <v>341</v>
      </c>
      <c r="C504" s="398">
        <v>24</v>
      </c>
      <c r="D504" s="399">
        <v>0</v>
      </c>
      <c r="E504" s="398">
        <f t="shared" si="7"/>
        <v>0</v>
      </c>
    </row>
    <row r="505" spans="1:5" ht="15.75" thickBot="1" x14ac:dyDescent="0.25">
      <c r="A505" s="394" t="s">
        <v>833</v>
      </c>
      <c r="B505" s="395" t="s">
        <v>341</v>
      </c>
      <c r="C505" s="398">
        <v>24</v>
      </c>
      <c r="D505" s="399">
        <v>0</v>
      </c>
      <c r="E505" s="398">
        <f t="shared" si="7"/>
        <v>0</v>
      </c>
    </row>
    <row r="506" spans="1:5" ht="15.75" thickBot="1" x14ac:dyDescent="0.25">
      <c r="A506" s="394" t="s">
        <v>834</v>
      </c>
      <c r="B506" s="395" t="s">
        <v>341</v>
      </c>
      <c r="C506" s="398">
        <v>24</v>
      </c>
      <c r="D506" s="399">
        <v>0</v>
      </c>
      <c r="E506" s="398">
        <f t="shared" si="7"/>
        <v>0</v>
      </c>
    </row>
    <row r="507" spans="1:5" ht="15.75" thickBot="1" x14ac:dyDescent="0.25">
      <c r="A507" s="394" t="s">
        <v>835</v>
      </c>
      <c r="B507" s="395" t="s">
        <v>341</v>
      </c>
      <c r="C507" s="398">
        <v>30</v>
      </c>
      <c r="D507" s="399">
        <v>0</v>
      </c>
      <c r="E507" s="398">
        <f t="shared" si="7"/>
        <v>0</v>
      </c>
    </row>
    <row r="508" spans="1:5" ht="15.75" thickBot="1" x14ac:dyDescent="0.25">
      <c r="A508" s="394" t="s">
        <v>836</v>
      </c>
      <c r="B508" s="395" t="s">
        <v>341</v>
      </c>
      <c r="C508" s="398">
        <v>30</v>
      </c>
      <c r="D508" s="399">
        <v>0</v>
      </c>
      <c r="E508" s="398">
        <f t="shared" si="7"/>
        <v>0</v>
      </c>
    </row>
    <row r="509" spans="1:5" ht="15.75" thickBot="1" x14ac:dyDescent="0.25">
      <c r="A509" s="394" t="s">
        <v>837</v>
      </c>
      <c r="B509" s="395" t="s">
        <v>341</v>
      </c>
      <c r="C509" s="398">
        <v>40</v>
      </c>
      <c r="D509" s="399">
        <v>0</v>
      </c>
      <c r="E509" s="398">
        <f t="shared" si="7"/>
        <v>0</v>
      </c>
    </row>
    <row r="510" spans="1:5" ht="15.75" thickBot="1" x14ac:dyDescent="0.25">
      <c r="A510" s="394" t="s">
        <v>838</v>
      </c>
      <c r="B510" s="395" t="s">
        <v>341</v>
      </c>
      <c r="C510" s="398">
        <v>50</v>
      </c>
      <c r="D510" s="399">
        <v>0</v>
      </c>
      <c r="E510" s="398">
        <f t="shared" si="7"/>
        <v>0</v>
      </c>
    </row>
    <row r="511" spans="1:5" ht="15.75" thickBot="1" x14ac:dyDescent="0.25">
      <c r="A511" s="394" t="s">
        <v>839</v>
      </c>
      <c r="B511" s="395" t="s">
        <v>431</v>
      </c>
      <c r="C511" s="398">
        <v>140</v>
      </c>
      <c r="D511" s="399">
        <v>0</v>
      </c>
      <c r="E511" s="398">
        <f t="shared" si="7"/>
        <v>0</v>
      </c>
    </row>
    <row r="512" spans="1:5" ht="15.75" thickBot="1" x14ac:dyDescent="0.25">
      <c r="A512" s="394" t="s">
        <v>840</v>
      </c>
      <c r="B512" s="395" t="s">
        <v>431</v>
      </c>
      <c r="C512" s="398">
        <v>60</v>
      </c>
      <c r="D512" s="399">
        <v>0</v>
      </c>
      <c r="E512" s="398">
        <f t="shared" si="7"/>
        <v>0</v>
      </c>
    </row>
    <row r="513" spans="1:5" ht="15.75" thickBot="1" x14ac:dyDescent="0.25">
      <c r="A513" s="394" t="s">
        <v>841</v>
      </c>
      <c r="B513" s="395" t="s">
        <v>431</v>
      </c>
      <c r="C513" s="398">
        <v>50</v>
      </c>
      <c r="D513" s="399">
        <v>0</v>
      </c>
      <c r="E513" s="398">
        <f t="shared" si="7"/>
        <v>0</v>
      </c>
    </row>
    <row r="514" spans="1:5" ht="15.75" thickBot="1" x14ac:dyDescent="0.25">
      <c r="A514" s="394" t="s">
        <v>842</v>
      </c>
      <c r="B514" s="395" t="s">
        <v>341</v>
      </c>
      <c r="C514" s="398">
        <v>30</v>
      </c>
      <c r="D514" s="399">
        <v>0</v>
      </c>
      <c r="E514" s="398">
        <f t="shared" si="7"/>
        <v>0</v>
      </c>
    </row>
    <row r="515" spans="1:5" ht="15.75" thickBot="1" x14ac:dyDescent="0.25">
      <c r="A515" s="394" t="s">
        <v>843</v>
      </c>
      <c r="B515" s="395" t="s">
        <v>341</v>
      </c>
      <c r="C515" s="398">
        <v>34</v>
      </c>
      <c r="D515" s="399">
        <v>0</v>
      </c>
      <c r="E515" s="398">
        <f t="shared" si="7"/>
        <v>0</v>
      </c>
    </row>
    <row r="516" spans="1:5" ht="15.75" thickBot="1" x14ac:dyDescent="0.25">
      <c r="A516" s="394" t="s">
        <v>844</v>
      </c>
      <c r="B516" s="395" t="s">
        <v>341</v>
      </c>
      <c r="C516" s="398">
        <v>40</v>
      </c>
      <c r="D516" s="399">
        <v>0</v>
      </c>
      <c r="E516" s="398">
        <f t="shared" ref="E516:E579" si="8">PRODUCT(D516,C516)</f>
        <v>0</v>
      </c>
    </row>
    <row r="517" spans="1:5" ht="15.75" thickBot="1" x14ac:dyDescent="0.25">
      <c r="A517" s="394" t="s">
        <v>845</v>
      </c>
      <c r="B517" s="395" t="s">
        <v>341</v>
      </c>
      <c r="C517" s="398">
        <v>40</v>
      </c>
      <c r="D517" s="399">
        <v>0</v>
      </c>
      <c r="E517" s="398">
        <f t="shared" si="8"/>
        <v>0</v>
      </c>
    </row>
    <row r="518" spans="1:5" ht="15.75" thickBot="1" x14ac:dyDescent="0.25">
      <c r="A518" s="394" t="s">
        <v>846</v>
      </c>
      <c r="B518" s="395" t="s">
        <v>431</v>
      </c>
      <c r="C518" s="398">
        <v>70</v>
      </c>
      <c r="D518" s="399">
        <v>0</v>
      </c>
      <c r="E518" s="398">
        <f t="shared" si="8"/>
        <v>0</v>
      </c>
    </row>
    <row r="519" spans="1:5" ht="15.75" thickBot="1" x14ac:dyDescent="0.25">
      <c r="A519" s="394" t="s">
        <v>847</v>
      </c>
      <c r="B519" s="395" t="s">
        <v>431</v>
      </c>
      <c r="C519" s="398">
        <v>70</v>
      </c>
      <c r="D519" s="399">
        <v>5</v>
      </c>
      <c r="E519" s="398">
        <f t="shared" si="8"/>
        <v>350</v>
      </c>
    </row>
    <row r="520" spans="1:5" ht="15.75" thickBot="1" x14ac:dyDescent="0.25">
      <c r="A520" s="394" t="s">
        <v>848</v>
      </c>
      <c r="B520" s="395" t="s">
        <v>341</v>
      </c>
      <c r="C520" s="398">
        <v>90</v>
      </c>
      <c r="D520" s="399">
        <v>2</v>
      </c>
      <c r="E520" s="398">
        <f t="shared" si="8"/>
        <v>180</v>
      </c>
    </row>
    <row r="521" spans="1:5" ht="15.75" thickBot="1" x14ac:dyDescent="0.25">
      <c r="A521" s="394" t="s">
        <v>849</v>
      </c>
      <c r="B521" s="395" t="s">
        <v>431</v>
      </c>
      <c r="C521" s="398">
        <v>30</v>
      </c>
      <c r="D521" s="399">
        <v>0</v>
      </c>
      <c r="E521" s="398">
        <f t="shared" si="8"/>
        <v>0</v>
      </c>
    </row>
    <row r="522" spans="1:5" ht="15.75" thickBot="1" x14ac:dyDescent="0.25">
      <c r="A522" s="394" t="s">
        <v>850</v>
      </c>
      <c r="B522" s="395" t="s">
        <v>341</v>
      </c>
      <c r="C522" s="398">
        <v>30</v>
      </c>
      <c r="D522" s="399">
        <v>1</v>
      </c>
      <c r="E522" s="398">
        <f t="shared" si="8"/>
        <v>30</v>
      </c>
    </row>
    <row r="523" spans="1:5" ht="15.75" thickBot="1" x14ac:dyDescent="0.25">
      <c r="A523" s="394" t="s">
        <v>851</v>
      </c>
      <c r="B523" s="395" t="s">
        <v>341</v>
      </c>
      <c r="C523" s="398">
        <v>30</v>
      </c>
      <c r="D523" s="399">
        <v>0</v>
      </c>
      <c r="E523" s="398">
        <f t="shared" si="8"/>
        <v>0</v>
      </c>
    </row>
    <row r="524" spans="1:5" ht="15.75" thickBot="1" x14ac:dyDescent="0.25">
      <c r="A524" s="394" t="s">
        <v>852</v>
      </c>
      <c r="B524" s="395" t="s">
        <v>341</v>
      </c>
      <c r="C524" s="398">
        <v>30</v>
      </c>
      <c r="D524" s="399">
        <v>0</v>
      </c>
      <c r="E524" s="398">
        <f t="shared" si="8"/>
        <v>0</v>
      </c>
    </row>
    <row r="525" spans="1:5" ht="15.75" thickBot="1" x14ac:dyDescent="0.25">
      <c r="A525" s="394" t="s">
        <v>853</v>
      </c>
      <c r="B525" s="395" t="s">
        <v>536</v>
      </c>
      <c r="C525" s="398">
        <v>40</v>
      </c>
      <c r="D525" s="399">
        <v>0</v>
      </c>
      <c r="E525" s="398">
        <f t="shared" si="8"/>
        <v>0</v>
      </c>
    </row>
    <row r="526" spans="1:5" ht="15.75" thickBot="1" x14ac:dyDescent="0.25">
      <c r="A526" s="394" t="s">
        <v>603</v>
      </c>
      <c r="B526" s="395" t="s">
        <v>6</v>
      </c>
      <c r="C526" s="398">
        <v>100</v>
      </c>
      <c r="D526" s="399">
        <v>0</v>
      </c>
      <c r="E526" s="398">
        <f t="shared" si="8"/>
        <v>0</v>
      </c>
    </row>
    <row r="527" spans="1:5" ht="15.75" thickBot="1" x14ac:dyDescent="0.25">
      <c r="A527" s="394" t="s">
        <v>347</v>
      </c>
      <c r="B527" s="395" t="s">
        <v>444</v>
      </c>
      <c r="C527" s="398">
        <v>120</v>
      </c>
      <c r="D527" s="399">
        <v>0</v>
      </c>
      <c r="E527" s="398">
        <f t="shared" si="8"/>
        <v>0</v>
      </c>
    </row>
    <row r="528" spans="1:5" ht="15.75" thickBot="1" x14ac:dyDescent="0.25">
      <c r="A528" s="394" t="s">
        <v>602</v>
      </c>
      <c r="B528" s="395" t="s">
        <v>444</v>
      </c>
      <c r="C528" s="398">
        <v>80</v>
      </c>
      <c r="D528" s="399">
        <v>2</v>
      </c>
      <c r="E528" s="398">
        <f t="shared" si="8"/>
        <v>160</v>
      </c>
    </row>
    <row r="529" spans="1:5" ht="15.75" thickBot="1" x14ac:dyDescent="0.25">
      <c r="A529" s="394" t="s">
        <v>854</v>
      </c>
      <c r="B529" s="395" t="s">
        <v>444</v>
      </c>
      <c r="C529" s="398">
        <v>180</v>
      </c>
      <c r="D529" s="399">
        <v>0</v>
      </c>
      <c r="E529" s="398">
        <f t="shared" si="8"/>
        <v>0</v>
      </c>
    </row>
    <row r="530" spans="1:5" ht="15.75" thickBot="1" x14ac:dyDescent="0.25">
      <c r="A530" s="394" t="s">
        <v>601</v>
      </c>
      <c r="B530" s="395" t="s">
        <v>444</v>
      </c>
      <c r="C530" s="398">
        <v>100</v>
      </c>
      <c r="D530" s="399">
        <v>0</v>
      </c>
      <c r="E530" s="398">
        <f t="shared" si="8"/>
        <v>0</v>
      </c>
    </row>
    <row r="531" spans="1:5" ht="15.75" thickBot="1" x14ac:dyDescent="0.25">
      <c r="A531" s="394" t="s">
        <v>855</v>
      </c>
      <c r="B531" s="395" t="s">
        <v>6</v>
      </c>
      <c r="C531" s="398">
        <v>150</v>
      </c>
      <c r="D531" s="399">
        <v>0</v>
      </c>
      <c r="E531" s="398">
        <f t="shared" si="8"/>
        <v>0</v>
      </c>
    </row>
    <row r="532" spans="1:5" ht="15.75" thickBot="1" x14ac:dyDescent="0.25">
      <c r="A532" s="394" t="s">
        <v>856</v>
      </c>
      <c r="B532" s="395" t="s">
        <v>444</v>
      </c>
      <c r="C532" s="398">
        <v>80</v>
      </c>
      <c r="D532" s="399">
        <v>0</v>
      </c>
      <c r="E532" s="398">
        <f t="shared" si="8"/>
        <v>0</v>
      </c>
    </row>
    <row r="533" spans="1:5" ht="15.75" thickBot="1" x14ac:dyDescent="0.25">
      <c r="A533" s="394" t="s">
        <v>857</v>
      </c>
      <c r="B533" s="395" t="s">
        <v>444</v>
      </c>
      <c r="C533" s="398">
        <v>40</v>
      </c>
      <c r="D533" s="399">
        <v>0</v>
      </c>
      <c r="E533" s="398">
        <f t="shared" si="8"/>
        <v>0</v>
      </c>
    </row>
    <row r="534" spans="1:5" ht="15.75" thickBot="1" x14ac:dyDescent="0.25">
      <c r="A534" s="394" t="s">
        <v>858</v>
      </c>
      <c r="B534" s="395" t="s">
        <v>444</v>
      </c>
      <c r="C534" s="398">
        <v>110</v>
      </c>
      <c r="D534" s="399">
        <v>0</v>
      </c>
      <c r="E534" s="398">
        <f t="shared" si="8"/>
        <v>0</v>
      </c>
    </row>
    <row r="535" spans="1:5" ht="15.75" thickBot="1" x14ac:dyDescent="0.25">
      <c r="A535" s="394" t="s">
        <v>859</v>
      </c>
      <c r="B535" s="395" t="s">
        <v>444</v>
      </c>
      <c r="C535" s="398">
        <v>50</v>
      </c>
      <c r="D535" s="399">
        <v>0</v>
      </c>
      <c r="E535" s="398">
        <f t="shared" si="8"/>
        <v>0</v>
      </c>
    </row>
    <row r="536" spans="1:5" ht="15.75" thickBot="1" x14ac:dyDescent="0.25">
      <c r="A536" s="394" t="s">
        <v>860</v>
      </c>
      <c r="B536" s="395" t="s">
        <v>444</v>
      </c>
      <c r="C536" s="398">
        <v>40</v>
      </c>
      <c r="D536" s="399">
        <v>0</v>
      </c>
      <c r="E536" s="398">
        <f t="shared" si="8"/>
        <v>0</v>
      </c>
    </row>
    <row r="537" spans="1:5" ht="15.75" thickBot="1" x14ac:dyDescent="0.25">
      <c r="A537" s="394" t="s">
        <v>861</v>
      </c>
      <c r="B537" s="395" t="s">
        <v>444</v>
      </c>
      <c r="C537" s="398">
        <v>60</v>
      </c>
      <c r="D537" s="399">
        <v>0</v>
      </c>
      <c r="E537" s="398">
        <f t="shared" si="8"/>
        <v>0</v>
      </c>
    </row>
    <row r="538" spans="1:5" ht="15.75" thickBot="1" x14ac:dyDescent="0.25">
      <c r="A538" s="394" t="s">
        <v>862</v>
      </c>
      <c r="B538" s="395" t="s">
        <v>444</v>
      </c>
      <c r="C538" s="398">
        <v>80</v>
      </c>
      <c r="D538" s="399">
        <v>0</v>
      </c>
      <c r="E538" s="398">
        <f t="shared" si="8"/>
        <v>0</v>
      </c>
    </row>
    <row r="539" spans="1:5" ht="15.75" thickBot="1" x14ac:dyDescent="0.25">
      <c r="A539" s="394" t="s">
        <v>863</v>
      </c>
      <c r="B539" s="395" t="s">
        <v>444</v>
      </c>
      <c r="C539" s="398">
        <v>100</v>
      </c>
      <c r="D539" s="399">
        <v>0</v>
      </c>
      <c r="E539" s="398">
        <f t="shared" si="8"/>
        <v>0</v>
      </c>
    </row>
    <row r="540" spans="1:5" ht="15.75" thickBot="1" x14ac:dyDescent="0.25">
      <c r="A540" s="394" t="s">
        <v>864</v>
      </c>
      <c r="B540" s="395" t="s">
        <v>6</v>
      </c>
      <c r="C540" s="398">
        <v>50</v>
      </c>
      <c r="D540" s="399">
        <v>0</v>
      </c>
      <c r="E540" s="398">
        <f t="shared" si="8"/>
        <v>0</v>
      </c>
    </row>
    <row r="541" spans="1:5" ht="15.75" thickBot="1" x14ac:dyDescent="0.25">
      <c r="A541" s="394" t="s">
        <v>865</v>
      </c>
      <c r="B541" s="395" t="s">
        <v>6</v>
      </c>
      <c r="C541" s="398">
        <v>70</v>
      </c>
      <c r="D541" s="399">
        <v>0</v>
      </c>
      <c r="E541" s="398">
        <f t="shared" si="8"/>
        <v>0</v>
      </c>
    </row>
    <row r="542" spans="1:5" ht="15.75" thickBot="1" x14ac:dyDescent="0.25">
      <c r="A542" s="394" t="s">
        <v>866</v>
      </c>
      <c r="B542" s="395" t="s">
        <v>6</v>
      </c>
      <c r="C542" s="398">
        <v>300</v>
      </c>
      <c r="D542" s="399">
        <v>0</v>
      </c>
      <c r="E542" s="398">
        <f t="shared" si="8"/>
        <v>0</v>
      </c>
    </row>
    <row r="543" spans="1:5" ht="15.75" thickBot="1" x14ac:dyDescent="0.25">
      <c r="A543" s="394" t="s">
        <v>867</v>
      </c>
      <c r="B543" s="395" t="s">
        <v>6</v>
      </c>
      <c r="C543" s="398">
        <v>240</v>
      </c>
      <c r="D543" s="399">
        <v>1</v>
      </c>
      <c r="E543" s="398">
        <f t="shared" si="8"/>
        <v>240</v>
      </c>
    </row>
    <row r="544" spans="1:5" ht="15.75" thickBot="1" x14ac:dyDescent="0.25">
      <c r="A544" s="394" t="s">
        <v>868</v>
      </c>
      <c r="B544" s="395" t="s">
        <v>6</v>
      </c>
      <c r="C544" s="398">
        <v>190</v>
      </c>
      <c r="D544" s="399">
        <v>0</v>
      </c>
      <c r="E544" s="398">
        <f t="shared" si="8"/>
        <v>0</v>
      </c>
    </row>
    <row r="545" spans="1:5" ht="15.75" thickBot="1" x14ac:dyDescent="0.25">
      <c r="A545" s="394" t="s">
        <v>869</v>
      </c>
      <c r="B545" s="395" t="s">
        <v>6</v>
      </c>
      <c r="C545" s="398">
        <v>60</v>
      </c>
      <c r="D545" s="399">
        <v>0</v>
      </c>
      <c r="E545" s="398">
        <f t="shared" si="8"/>
        <v>0</v>
      </c>
    </row>
    <row r="546" spans="1:5" ht="15.75" thickBot="1" x14ac:dyDescent="0.25">
      <c r="A546" s="394" t="s">
        <v>870</v>
      </c>
      <c r="B546" s="395" t="s">
        <v>6</v>
      </c>
      <c r="C546" s="398">
        <v>40</v>
      </c>
      <c r="D546" s="399">
        <v>0</v>
      </c>
      <c r="E546" s="398">
        <f t="shared" si="8"/>
        <v>0</v>
      </c>
    </row>
    <row r="547" spans="1:5" ht="15.75" thickBot="1" x14ac:dyDescent="0.25">
      <c r="A547" s="394" t="s">
        <v>871</v>
      </c>
      <c r="B547" s="395" t="s">
        <v>6</v>
      </c>
      <c r="C547" s="398">
        <v>80</v>
      </c>
      <c r="D547" s="399">
        <v>0</v>
      </c>
      <c r="E547" s="398">
        <f t="shared" si="8"/>
        <v>0</v>
      </c>
    </row>
    <row r="548" spans="1:5" ht="15.75" thickBot="1" x14ac:dyDescent="0.25">
      <c r="A548" s="394" t="s">
        <v>872</v>
      </c>
      <c r="B548" s="395" t="s">
        <v>6</v>
      </c>
      <c r="C548" s="398">
        <v>40</v>
      </c>
      <c r="D548" s="399">
        <v>0</v>
      </c>
      <c r="E548" s="398">
        <f t="shared" si="8"/>
        <v>0</v>
      </c>
    </row>
    <row r="549" spans="1:5" ht="15.75" thickBot="1" x14ac:dyDescent="0.25">
      <c r="A549" s="394" t="s">
        <v>873</v>
      </c>
      <c r="B549" s="395" t="s">
        <v>444</v>
      </c>
      <c r="C549" s="398">
        <v>100</v>
      </c>
      <c r="D549" s="399">
        <v>0</v>
      </c>
      <c r="E549" s="398">
        <f t="shared" si="8"/>
        <v>0</v>
      </c>
    </row>
    <row r="550" spans="1:5" ht="15.75" thickBot="1" x14ac:dyDescent="0.25">
      <c r="A550" s="394" t="s">
        <v>874</v>
      </c>
      <c r="B550" s="395" t="s">
        <v>444</v>
      </c>
      <c r="C550" s="398">
        <v>80</v>
      </c>
      <c r="D550" s="399">
        <v>0</v>
      </c>
      <c r="E550" s="398">
        <f t="shared" si="8"/>
        <v>0</v>
      </c>
    </row>
    <row r="551" spans="1:5" ht="15.75" thickBot="1" x14ac:dyDescent="0.25">
      <c r="A551" s="394" t="s">
        <v>875</v>
      </c>
      <c r="B551" s="395" t="s">
        <v>444</v>
      </c>
      <c r="C551" s="398">
        <v>60</v>
      </c>
      <c r="D551" s="399">
        <v>0</v>
      </c>
      <c r="E551" s="398">
        <f t="shared" si="8"/>
        <v>0</v>
      </c>
    </row>
    <row r="552" spans="1:5" ht="15.75" thickBot="1" x14ac:dyDescent="0.25">
      <c r="A552" s="394" t="s">
        <v>876</v>
      </c>
      <c r="B552" s="395" t="s">
        <v>444</v>
      </c>
      <c r="C552" s="398">
        <v>40</v>
      </c>
      <c r="D552" s="399">
        <v>0</v>
      </c>
      <c r="E552" s="398">
        <f t="shared" si="8"/>
        <v>0</v>
      </c>
    </row>
    <row r="553" spans="1:5" ht="15.75" thickBot="1" x14ac:dyDescent="0.25">
      <c r="A553" s="394" t="s">
        <v>877</v>
      </c>
      <c r="B553" s="395" t="s">
        <v>444</v>
      </c>
      <c r="C553" s="398">
        <v>50</v>
      </c>
      <c r="D553" s="399">
        <v>0</v>
      </c>
      <c r="E553" s="398">
        <f t="shared" si="8"/>
        <v>0</v>
      </c>
    </row>
    <row r="554" spans="1:5" ht="15.75" thickBot="1" x14ac:dyDescent="0.25">
      <c r="A554" s="394" t="s">
        <v>878</v>
      </c>
      <c r="B554" s="395" t="s">
        <v>444</v>
      </c>
      <c r="C554" s="398">
        <v>60</v>
      </c>
      <c r="D554" s="399">
        <v>0</v>
      </c>
      <c r="E554" s="398">
        <f t="shared" si="8"/>
        <v>0</v>
      </c>
    </row>
    <row r="555" spans="1:5" ht="15.75" thickBot="1" x14ac:dyDescent="0.25">
      <c r="A555" s="394" t="s">
        <v>879</v>
      </c>
      <c r="B555" s="395" t="s">
        <v>444</v>
      </c>
      <c r="C555" s="398">
        <v>70</v>
      </c>
      <c r="D555" s="399">
        <v>0</v>
      </c>
      <c r="E555" s="398">
        <f t="shared" si="8"/>
        <v>0</v>
      </c>
    </row>
    <row r="556" spans="1:5" ht="15.75" thickBot="1" x14ac:dyDescent="0.25">
      <c r="A556" s="394" t="s">
        <v>880</v>
      </c>
      <c r="B556" s="395" t="s">
        <v>444</v>
      </c>
      <c r="C556" s="398">
        <v>40</v>
      </c>
      <c r="D556" s="399">
        <v>0</v>
      </c>
      <c r="E556" s="398">
        <f t="shared" si="8"/>
        <v>0</v>
      </c>
    </row>
    <row r="557" spans="1:5" ht="15.75" thickBot="1" x14ac:dyDescent="0.25">
      <c r="A557" s="394" t="s">
        <v>881</v>
      </c>
      <c r="B557" s="395" t="s">
        <v>444</v>
      </c>
      <c r="C557" s="398">
        <v>50</v>
      </c>
      <c r="D557" s="399">
        <v>0</v>
      </c>
      <c r="E557" s="398">
        <f t="shared" si="8"/>
        <v>0</v>
      </c>
    </row>
    <row r="558" spans="1:5" ht="15.75" thickBot="1" x14ac:dyDescent="0.25">
      <c r="A558" s="394" t="s">
        <v>882</v>
      </c>
      <c r="B558" s="395" t="s">
        <v>6</v>
      </c>
      <c r="C558" s="398">
        <v>30</v>
      </c>
      <c r="D558" s="399">
        <v>0</v>
      </c>
      <c r="E558" s="398">
        <f t="shared" si="8"/>
        <v>0</v>
      </c>
    </row>
    <row r="559" spans="1:5" ht="15.75" thickBot="1" x14ac:dyDescent="0.25">
      <c r="A559" s="394" t="s">
        <v>883</v>
      </c>
      <c r="B559" s="395" t="s">
        <v>6</v>
      </c>
      <c r="C559" s="398">
        <v>24</v>
      </c>
      <c r="D559" s="399">
        <v>0</v>
      </c>
      <c r="E559" s="398">
        <f t="shared" si="8"/>
        <v>0</v>
      </c>
    </row>
    <row r="560" spans="1:5" ht="15.75" thickBot="1" x14ac:dyDescent="0.25">
      <c r="A560" s="394" t="s">
        <v>884</v>
      </c>
      <c r="B560" s="395" t="s">
        <v>6</v>
      </c>
      <c r="C560" s="398">
        <v>20</v>
      </c>
      <c r="D560" s="399">
        <v>0</v>
      </c>
      <c r="E560" s="398">
        <f t="shared" si="8"/>
        <v>0</v>
      </c>
    </row>
    <row r="561" spans="1:5" ht="15.75" thickBot="1" x14ac:dyDescent="0.25">
      <c r="A561" s="394" t="s">
        <v>885</v>
      </c>
      <c r="B561" s="395" t="s">
        <v>6</v>
      </c>
      <c r="C561" s="398">
        <v>16</v>
      </c>
      <c r="D561" s="399">
        <v>0</v>
      </c>
      <c r="E561" s="398">
        <f t="shared" si="8"/>
        <v>0</v>
      </c>
    </row>
    <row r="562" spans="1:5" ht="15.75" thickBot="1" x14ac:dyDescent="0.25">
      <c r="A562" s="394" t="s">
        <v>886</v>
      </c>
      <c r="B562" s="395" t="s">
        <v>6</v>
      </c>
      <c r="C562" s="398">
        <v>40</v>
      </c>
      <c r="D562" s="399">
        <v>0</v>
      </c>
      <c r="E562" s="398">
        <f t="shared" si="8"/>
        <v>0</v>
      </c>
    </row>
    <row r="563" spans="1:5" ht="15.75" thickBot="1" x14ac:dyDescent="0.25">
      <c r="A563" s="394" t="s">
        <v>887</v>
      </c>
      <c r="B563" s="395" t="s">
        <v>6</v>
      </c>
      <c r="C563" s="398">
        <v>30</v>
      </c>
      <c r="D563" s="399">
        <v>0</v>
      </c>
      <c r="E563" s="398">
        <f t="shared" si="8"/>
        <v>0</v>
      </c>
    </row>
    <row r="564" spans="1:5" ht="15.75" thickBot="1" x14ac:dyDescent="0.25">
      <c r="A564" s="394" t="s">
        <v>888</v>
      </c>
      <c r="B564" s="395" t="s">
        <v>6</v>
      </c>
      <c r="C564" s="398">
        <v>24</v>
      </c>
      <c r="D564" s="399">
        <v>0</v>
      </c>
      <c r="E564" s="398">
        <f t="shared" si="8"/>
        <v>0</v>
      </c>
    </row>
    <row r="565" spans="1:5" ht="15.75" thickBot="1" x14ac:dyDescent="0.25">
      <c r="A565" s="394" t="s">
        <v>889</v>
      </c>
      <c r="B565" s="395" t="s">
        <v>6</v>
      </c>
      <c r="C565" s="398">
        <v>20</v>
      </c>
      <c r="D565" s="399">
        <v>0</v>
      </c>
      <c r="E565" s="398">
        <f t="shared" si="8"/>
        <v>0</v>
      </c>
    </row>
    <row r="566" spans="1:5" ht="15.75" thickBot="1" x14ac:dyDescent="0.25">
      <c r="A566" s="394" t="s">
        <v>890</v>
      </c>
      <c r="B566" s="395" t="s">
        <v>6</v>
      </c>
      <c r="C566" s="398">
        <v>900</v>
      </c>
      <c r="D566" s="399">
        <v>1</v>
      </c>
      <c r="E566" s="398">
        <f t="shared" si="8"/>
        <v>900</v>
      </c>
    </row>
    <row r="567" spans="1:5" ht="15.75" thickBot="1" x14ac:dyDescent="0.25">
      <c r="A567" s="394" t="s">
        <v>891</v>
      </c>
      <c r="B567" s="395" t="s">
        <v>6</v>
      </c>
      <c r="C567" s="398">
        <v>600</v>
      </c>
      <c r="D567" s="399">
        <v>0</v>
      </c>
      <c r="E567" s="398">
        <f t="shared" si="8"/>
        <v>0</v>
      </c>
    </row>
    <row r="568" spans="1:5" ht="15.75" thickBot="1" x14ac:dyDescent="0.25">
      <c r="A568" s="394" t="s">
        <v>892</v>
      </c>
      <c r="B568" s="395" t="s">
        <v>6</v>
      </c>
      <c r="C568" s="398">
        <v>400</v>
      </c>
      <c r="D568" s="399">
        <v>0</v>
      </c>
      <c r="E568" s="398">
        <f t="shared" si="8"/>
        <v>0</v>
      </c>
    </row>
    <row r="569" spans="1:5" ht="15.75" thickBot="1" x14ac:dyDescent="0.25">
      <c r="A569" s="394" t="s">
        <v>893</v>
      </c>
      <c r="B569" s="395" t="s">
        <v>6</v>
      </c>
      <c r="C569" s="398">
        <v>800</v>
      </c>
      <c r="D569" s="399">
        <v>1</v>
      </c>
      <c r="E569" s="398">
        <f t="shared" si="8"/>
        <v>800</v>
      </c>
    </row>
    <row r="570" spans="1:5" ht="15.75" thickBot="1" x14ac:dyDescent="0.25">
      <c r="A570" s="394" t="s">
        <v>894</v>
      </c>
      <c r="B570" s="395" t="s">
        <v>6</v>
      </c>
      <c r="C570" s="398">
        <v>600</v>
      </c>
      <c r="D570" s="399">
        <v>0</v>
      </c>
      <c r="E570" s="398">
        <f t="shared" si="8"/>
        <v>0</v>
      </c>
    </row>
    <row r="571" spans="1:5" ht="15.75" thickBot="1" x14ac:dyDescent="0.25">
      <c r="A571" s="394" t="s">
        <v>895</v>
      </c>
      <c r="B571" s="395" t="s">
        <v>6</v>
      </c>
      <c r="C571" s="398">
        <v>400</v>
      </c>
      <c r="D571" s="399">
        <v>0</v>
      </c>
      <c r="E571" s="398">
        <f t="shared" si="8"/>
        <v>0</v>
      </c>
    </row>
    <row r="572" spans="1:5" ht="15.75" thickBot="1" x14ac:dyDescent="0.25">
      <c r="A572" s="394" t="s">
        <v>896</v>
      </c>
      <c r="B572" s="395" t="s">
        <v>6</v>
      </c>
      <c r="C572" s="398">
        <v>700</v>
      </c>
      <c r="D572" s="399">
        <v>0</v>
      </c>
      <c r="E572" s="398">
        <f t="shared" si="8"/>
        <v>0</v>
      </c>
    </row>
    <row r="573" spans="1:5" ht="15.75" thickBot="1" x14ac:dyDescent="0.25">
      <c r="A573" s="394" t="s">
        <v>897</v>
      </c>
      <c r="B573" s="395" t="s">
        <v>6</v>
      </c>
      <c r="C573" s="398">
        <v>500</v>
      </c>
      <c r="D573" s="399">
        <v>0</v>
      </c>
      <c r="E573" s="398">
        <f t="shared" si="8"/>
        <v>0</v>
      </c>
    </row>
    <row r="574" spans="1:5" ht="15.75" thickBot="1" x14ac:dyDescent="0.25">
      <c r="A574" s="394" t="s">
        <v>898</v>
      </c>
      <c r="B574" s="395" t="s">
        <v>6</v>
      </c>
      <c r="C574" s="398">
        <v>250</v>
      </c>
      <c r="D574" s="399">
        <v>0</v>
      </c>
      <c r="E574" s="398">
        <f t="shared" si="8"/>
        <v>0</v>
      </c>
    </row>
    <row r="575" spans="1:5" ht="15.75" thickBot="1" x14ac:dyDescent="0.25">
      <c r="A575" s="394" t="s">
        <v>899</v>
      </c>
      <c r="B575" s="395" t="s">
        <v>6</v>
      </c>
      <c r="C575" s="398">
        <v>60</v>
      </c>
      <c r="D575" s="399">
        <v>1</v>
      </c>
      <c r="E575" s="398">
        <f t="shared" si="8"/>
        <v>60</v>
      </c>
    </row>
    <row r="576" spans="1:5" ht="15.75" thickBot="1" x14ac:dyDescent="0.25">
      <c r="A576" s="394" t="s">
        <v>900</v>
      </c>
      <c r="B576" s="395" t="s">
        <v>6</v>
      </c>
      <c r="C576" s="398">
        <v>160</v>
      </c>
      <c r="D576" s="399">
        <v>1</v>
      </c>
      <c r="E576" s="398">
        <f t="shared" si="8"/>
        <v>160</v>
      </c>
    </row>
    <row r="577" spans="1:5" ht="15.75" thickBot="1" x14ac:dyDescent="0.25">
      <c r="A577" s="394" t="s">
        <v>901</v>
      </c>
      <c r="B577" s="395" t="s">
        <v>6</v>
      </c>
      <c r="C577" s="398">
        <v>70</v>
      </c>
      <c r="D577" s="399">
        <v>0</v>
      </c>
      <c r="E577" s="398">
        <f t="shared" si="8"/>
        <v>0</v>
      </c>
    </row>
    <row r="578" spans="1:5" ht="15.75" thickBot="1" x14ac:dyDescent="0.25">
      <c r="A578" s="394" t="s">
        <v>902</v>
      </c>
      <c r="B578" s="395" t="s">
        <v>6</v>
      </c>
      <c r="C578" s="398">
        <v>150</v>
      </c>
      <c r="D578" s="399">
        <v>0</v>
      </c>
      <c r="E578" s="398">
        <f t="shared" si="8"/>
        <v>0</v>
      </c>
    </row>
    <row r="579" spans="1:5" ht="15.75" thickBot="1" x14ac:dyDescent="0.25">
      <c r="A579" s="394" t="s">
        <v>903</v>
      </c>
      <c r="B579" s="395" t="s">
        <v>6</v>
      </c>
      <c r="C579" s="398">
        <v>50</v>
      </c>
      <c r="D579" s="399">
        <v>0</v>
      </c>
      <c r="E579" s="398">
        <f t="shared" si="8"/>
        <v>0</v>
      </c>
    </row>
    <row r="580" spans="1:5" ht="15.75" thickBot="1" x14ac:dyDescent="0.25">
      <c r="A580" s="394" t="s">
        <v>904</v>
      </c>
      <c r="B580" s="395" t="s">
        <v>6</v>
      </c>
      <c r="C580" s="398">
        <v>90</v>
      </c>
      <c r="D580" s="399">
        <v>0</v>
      </c>
      <c r="E580" s="398">
        <f t="shared" ref="E580:E643" si="9">PRODUCT(D580,C580)</f>
        <v>0</v>
      </c>
    </row>
    <row r="581" spans="1:5" ht="15.75" thickBot="1" x14ac:dyDescent="0.25">
      <c r="A581" s="394" t="s">
        <v>905</v>
      </c>
      <c r="B581" s="395" t="s">
        <v>6</v>
      </c>
      <c r="C581" s="398">
        <v>60</v>
      </c>
      <c r="D581" s="399">
        <v>0</v>
      </c>
      <c r="E581" s="398">
        <f t="shared" si="9"/>
        <v>0</v>
      </c>
    </row>
    <row r="582" spans="1:5" ht="15.75" thickBot="1" x14ac:dyDescent="0.25">
      <c r="A582" s="394" t="s">
        <v>906</v>
      </c>
      <c r="B582" s="395" t="s">
        <v>6</v>
      </c>
      <c r="C582" s="398">
        <v>90</v>
      </c>
      <c r="D582" s="399">
        <v>0</v>
      </c>
      <c r="E582" s="398">
        <f t="shared" si="9"/>
        <v>0</v>
      </c>
    </row>
    <row r="583" spans="1:5" ht="15.75" thickBot="1" x14ac:dyDescent="0.25">
      <c r="A583" s="394" t="s">
        <v>907</v>
      </c>
      <c r="B583" s="395" t="s">
        <v>6</v>
      </c>
      <c r="C583" s="398">
        <v>500</v>
      </c>
      <c r="D583" s="399">
        <v>0</v>
      </c>
      <c r="E583" s="398">
        <f t="shared" si="9"/>
        <v>0</v>
      </c>
    </row>
    <row r="584" spans="1:5" ht="15.75" thickBot="1" x14ac:dyDescent="0.25">
      <c r="A584" s="394" t="s">
        <v>908</v>
      </c>
      <c r="B584" s="395" t="s">
        <v>6</v>
      </c>
      <c r="C584" s="398">
        <v>440</v>
      </c>
      <c r="D584" s="399">
        <v>0</v>
      </c>
      <c r="E584" s="398">
        <f t="shared" si="9"/>
        <v>0</v>
      </c>
    </row>
    <row r="585" spans="1:5" ht="15.75" thickBot="1" x14ac:dyDescent="0.25">
      <c r="A585" s="394" t="s">
        <v>909</v>
      </c>
      <c r="B585" s="395" t="s">
        <v>6</v>
      </c>
      <c r="C585" s="398">
        <v>300</v>
      </c>
      <c r="D585" s="399">
        <v>0</v>
      </c>
      <c r="E585" s="398">
        <f t="shared" si="9"/>
        <v>0</v>
      </c>
    </row>
    <row r="586" spans="1:5" ht="15.75" thickBot="1" x14ac:dyDescent="0.25">
      <c r="A586" s="394" t="s">
        <v>910</v>
      </c>
      <c r="B586" s="395" t="s">
        <v>6</v>
      </c>
      <c r="C586" s="398">
        <v>240</v>
      </c>
      <c r="D586" s="399">
        <v>0</v>
      </c>
      <c r="E586" s="398">
        <f t="shared" si="9"/>
        <v>0</v>
      </c>
    </row>
    <row r="587" spans="1:5" ht="15.75" thickBot="1" x14ac:dyDescent="0.25">
      <c r="A587" s="394" t="s">
        <v>911</v>
      </c>
      <c r="B587" s="395" t="s">
        <v>6</v>
      </c>
      <c r="C587" s="398">
        <v>360</v>
      </c>
      <c r="D587" s="399">
        <v>0</v>
      </c>
      <c r="E587" s="398">
        <f t="shared" si="9"/>
        <v>0</v>
      </c>
    </row>
    <row r="588" spans="1:5" ht="15.75" thickBot="1" x14ac:dyDescent="0.25">
      <c r="A588" s="394" t="s">
        <v>912</v>
      </c>
      <c r="B588" s="395" t="s">
        <v>6</v>
      </c>
      <c r="C588" s="398">
        <v>300</v>
      </c>
      <c r="D588" s="399">
        <v>0</v>
      </c>
      <c r="E588" s="398">
        <f t="shared" si="9"/>
        <v>0</v>
      </c>
    </row>
    <row r="589" spans="1:5" ht="15.75" thickBot="1" x14ac:dyDescent="0.25">
      <c r="A589" s="394" t="s">
        <v>913</v>
      </c>
      <c r="B589" s="395" t="s">
        <v>6</v>
      </c>
      <c r="C589" s="398">
        <v>500</v>
      </c>
      <c r="D589" s="399">
        <v>0</v>
      </c>
      <c r="E589" s="398">
        <f t="shared" si="9"/>
        <v>0</v>
      </c>
    </row>
    <row r="590" spans="1:5" ht="15.75" thickBot="1" x14ac:dyDescent="0.25">
      <c r="A590" s="394" t="s">
        <v>914</v>
      </c>
      <c r="B590" s="395" t="s">
        <v>6</v>
      </c>
      <c r="C590" s="398">
        <v>600</v>
      </c>
      <c r="D590" s="399">
        <v>0</v>
      </c>
      <c r="E590" s="398">
        <f t="shared" si="9"/>
        <v>0</v>
      </c>
    </row>
    <row r="591" spans="1:5" ht="15.75" thickBot="1" x14ac:dyDescent="0.25">
      <c r="A591" s="394" t="s">
        <v>915</v>
      </c>
      <c r="B591" s="395" t="s">
        <v>6</v>
      </c>
      <c r="C591" s="398">
        <v>120</v>
      </c>
      <c r="D591" s="399">
        <v>0</v>
      </c>
      <c r="E591" s="398">
        <f t="shared" si="9"/>
        <v>0</v>
      </c>
    </row>
    <row r="592" spans="1:5" ht="15.75" thickBot="1" x14ac:dyDescent="0.25">
      <c r="A592" s="394" t="s">
        <v>916</v>
      </c>
      <c r="B592" s="395" t="s">
        <v>6</v>
      </c>
      <c r="C592" s="398">
        <v>200</v>
      </c>
      <c r="D592" s="399">
        <v>0</v>
      </c>
      <c r="E592" s="398">
        <f t="shared" si="9"/>
        <v>0</v>
      </c>
    </row>
    <row r="593" spans="1:5" ht="15.75" thickBot="1" x14ac:dyDescent="0.25">
      <c r="A593" s="394" t="s">
        <v>917</v>
      </c>
      <c r="B593" s="395" t="s">
        <v>6</v>
      </c>
      <c r="C593" s="398">
        <v>60</v>
      </c>
      <c r="D593" s="399">
        <v>0</v>
      </c>
      <c r="E593" s="398">
        <f t="shared" si="9"/>
        <v>0</v>
      </c>
    </row>
    <row r="594" spans="1:5" ht="15.75" thickBot="1" x14ac:dyDescent="0.25">
      <c r="A594" s="394" t="s">
        <v>918</v>
      </c>
      <c r="B594" s="395" t="s">
        <v>6</v>
      </c>
      <c r="C594" s="398">
        <v>280</v>
      </c>
      <c r="D594" s="399">
        <v>0</v>
      </c>
      <c r="E594" s="398">
        <f t="shared" si="9"/>
        <v>0</v>
      </c>
    </row>
    <row r="595" spans="1:5" ht="15.75" thickBot="1" x14ac:dyDescent="0.25">
      <c r="A595" s="394" t="s">
        <v>919</v>
      </c>
      <c r="B595" s="395" t="s">
        <v>6</v>
      </c>
      <c r="C595" s="398">
        <v>240</v>
      </c>
      <c r="D595" s="399">
        <v>0</v>
      </c>
      <c r="E595" s="398">
        <f t="shared" si="9"/>
        <v>0</v>
      </c>
    </row>
    <row r="596" spans="1:5" ht="15.75" thickBot="1" x14ac:dyDescent="0.25">
      <c r="A596" s="394" t="s">
        <v>920</v>
      </c>
      <c r="B596" s="395" t="s">
        <v>6</v>
      </c>
      <c r="C596" s="398">
        <v>90</v>
      </c>
      <c r="D596" s="399">
        <v>0</v>
      </c>
      <c r="E596" s="398">
        <f t="shared" si="9"/>
        <v>0</v>
      </c>
    </row>
    <row r="597" spans="1:5" ht="15.75" thickBot="1" x14ac:dyDescent="0.25">
      <c r="A597" s="394" t="s">
        <v>921</v>
      </c>
      <c r="B597" s="395" t="s">
        <v>6</v>
      </c>
      <c r="C597" s="398">
        <v>500</v>
      </c>
      <c r="D597" s="399">
        <v>0</v>
      </c>
      <c r="E597" s="398">
        <f t="shared" si="9"/>
        <v>0</v>
      </c>
    </row>
    <row r="598" spans="1:5" ht="15.75" thickBot="1" x14ac:dyDescent="0.25">
      <c r="A598" s="394" t="s">
        <v>922</v>
      </c>
      <c r="B598" s="395" t="s">
        <v>6</v>
      </c>
      <c r="C598" s="398">
        <v>760</v>
      </c>
      <c r="D598" s="399">
        <v>0</v>
      </c>
      <c r="E598" s="398">
        <f t="shared" si="9"/>
        <v>0</v>
      </c>
    </row>
    <row r="599" spans="1:5" ht="15.75" thickBot="1" x14ac:dyDescent="0.25">
      <c r="A599" s="394" t="s">
        <v>923</v>
      </c>
      <c r="B599" s="395" t="s">
        <v>444</v>
      </c>
      <c r="C599" s="398">
        <v>100</v>
      </c>
      <c r="D599" s="399">
        <v>0</v>
      </c>
      <c r="E599" s="398">
        <f t="shared" si="9"/>
        <v>0</v>
      </c>
    </row>
    <row r="600" spans="1:5" ht="15.75" thickBot="1" x14ac:dyDescent="0.25">
      <c r="A600" s="394" t="s">
        <v>924</v>
      </c>
      <c r="B600" s="395" t="s">
        <v>444</v>
      </c>
      <c r="C600" s="398">
        <v>90</v>
      </c>
      <c r="D600" s="399">
        <v>3</v>
      </c>
      <c r="E600" s="398">
        <f t="shared" si="9"/>
        <v>270</v>
      </c>
    </row>
    <row r="601" spans="1:5" ht="15.75" thickBot="1" x14ac:dyDescent="0.25">
      <c r="A601" s="394" t="s">
        <v>925</v>
      </c>
      <c r="B601" s="395" t="s">
        <v>444</v>
      </c>
      <c r="C601" s="398">
        <v>120</v>
      </c>
      <c r="D601" s="399">
        <v>0</v>
      </c>
      <c r="E601" s="398">
        <f t="shared" si="9"/>
        <v>0</v>
      </c>
    </row>
    <row r="602" spans="1:5" ht="15.75" thickBot="1" x14ac:dyDescent="0.25">
      <c r="A602" s="394" t="s">
        <v>926</v>
      </c>
      <c r="B602" s="395" t="s">
        <v>444</v>
      </c>
      <c r="C602" s="398">
        <v>160</v>
      </c>
      <c r="D602" s="399">
        <v>0</v>
      </c>
      <c r="E602" s="398">
        <f t="shared" si="9"/>
        <v>0</v>
      </c>
    </row>
    <row r="603" spans="1:5" s="402" customFormat="1" ht="16.5" thickBot="1" x14ac:dyDescent="0.25">
      <c r="A603" s="439" t="s">
        <v>371</v>
      </c>
      <c r="B603" s="440"/>
      <c r="C603" s="440"/>
      <c r="D603" s="441"/>
      <c r="E603" s="401">
        <f>SUM(E472:E602)</f>
        <v>3300</v>
      </c>
    </row>
    <row r="604" spans="1:5" ht="16.5" thickBot="1" x14ac:dyDescent="0.25">
      <c r="A604" s="436" t="s">
        <v>927</v>
      </c>
      <c r="B604" s="437"/>
      <c r="C604" s="437"/>
      <c r="D604" s="437"/>
      <c r="E604" s="438"/>
    </row>
    <row r="605" spans="1:5" ht="15.75" thickBot="1" x14ac:dyDescent="0.25">
      <c r="A605" s="403" t="s">
        <v>928</v>
      </c>
      <c r="B605" s="404" t="s">
        <v>339</v>
      </c>
      <c r="C605" s="405">
        <v>100</v>
      </c>
      <c r="D605" s="404">
        <v>0</v>
      </c>
      <c r="E605" s="405">
        <f t="shared" si="9"/>
        <v>0</v>
      </c>
    </row>
    <row r="606" spans="1:5" ht="15.75" thickBot="1" x14ac:dyDescent="0.25">
      <c r="A606" s="406" t="s">
        <v>929</v>
      </c>
      <c r="B606" s="395" t="s">
        <v>339</v>
      </c>
      <c r="C606" s="407">
        <v>50</v>
      </c>
      <c r="D606" s="395">
        <v>250</v>
      </c>
      <c r="E606" s="407">
        <f t="shared" si="9"/>
        <v>12500</v>
      </c>
    </row>
    <row r="607" spans="1:5" ht="15.75" thickBot="1" x14ac:dyDescent="0.25">
      <c r="A607" s="406" t="s">
        <v>930</v>
      </c>
      <c r="B607" s="395" t="s">
        <v>339</v>
      </c>
      <c r="C607" s="407">
        <v>70</v>
      </c>
      <c r="D607" s="395">
        <v>0</v>
      </c>
      <c r="E607" s="407">
        <f t="shared" si="9"/>
        <v>0</v>
      </c>
    </row>
    <row r="608" spans="1:5" ht="15.75" thickBot="1" x14ac:dyDescent="0.25">
      <c r="A608" s="406" t="s">
        <v>931</v>
      </c>
      <c r="B608" s="395" t="s">
        <v>431</v>
      </c>
      <c r="C608" s="407">
        <v>70</v>
      </c>
      <c r="D608" s="395">
        <v>0</v>
      </c>
      <c r="E608" s="407">
        <f t="shared" si="9"/>
        <v>0</v>
      </c>
    </row>
    <row r="609" spans="1:5" ht="15.75" thickBot="1" x14ac:dyDescent="0.25">
      <c r="A609" s="406" t="s">
        <v>932</v>
      </c>
      <c r="B609" s="395" t="s">
        <v>431</v>
      </c>
      <c r="C609" s="407">
        <v>70</v>
      </c>
      <c r="D609" s="395">
        <v>0</v>
      </c>
      <c r="E609" s="407">
        <f t="shared" si="9"/>
        <v>0</v>
      </c>
    </row>
    <row r="610" spans="1:5" ht="15.75" thickBot="1" x14ac:dyDescent="0.25">
      <c r="A610" s="406" t="s">
        <v>933</v>
      </c>
      <c r="B610" s="395" t="s">
        <v>339</v>
      </c>
      <c r="C610" s="407">
        <v>70</v>
      </c>
      <c r="D610" s="395">
        <v>0</v>
      </c>
      <c r="E610" s="407">
        <f t="shared" si="9"/>
        <v>0</v>
      </c>
    </row>
    <row r="611" spans="1:5" ht="15.75" thickBot="1" x14ac:dyDescent="0.25">
      <c r="A611" s="406" t="s">
        <v>934</v>
      </c>
      <c r="B611" s="395" t="s">
        <v>339</v>
      </c>
      <c r="C611" s="407">
        <v>60</v>
      </c>
      <c r="D611" s="395">
        <v>0</v>
      </c>
      <c r="E611" s="407">
        <f t="shared" si="9"/>
        <v>0</v>
      </c>
    </row>
    <row r="612" spans="1:5" ht="15.75" thickBot="1" x14ac:dyDescent="0.25">
      <c r="A612" s="406" t="s">
        <v>935</v>
      </c>
      <c r="B612" s="395" t="s">
        <v>339</v>
      </c>
      <c r="C612" s="407">
        <v>70</v>
      </c>
      <c r="D612" s="395">
        <v>0</v>
      </c>
      <c r="E612" s="407">
        <f t="shared" si="9"/>
        <v>0</v>
      </c>
    </row>
    <row r="613" spans="1:5" ht="15.75" thickBot="1" x14ac:dyDescent="0.25">
      <c r="A613" s="406" t="s">
        <v>936</v>
      </c>
      <c r="B613" s="395" t="s">
        <v>431</v>
      </c>
      <c r="C613" s="407">
        <v>70</v>
      </c>
      <c r="D613" s="395">
        <v>0</v>
      </c>
      <c r="E613" s="407">
        <f t="shared" si="9"/>
        <v>0</v>
      </c>
    </row>
    <row r="614" spans="1:5" ht="15.75" thickBot="1" x14ac:dyDescent="0.25">
      <c r="A614" s="406" t="s">
        <v>937</v>
      </c>
      <c r="B614" s="395" t="s">
        <v>339</v>
      </c>
      <c r="C614" s="407">
        <v>70</v>
      </c>
      <c r="D614" s="395">
        <v>0</v>
      </c>
      <c r="E614" s="407">
        <f t="shared" si="9"/>
        <v>0</v>
      </c>
    </row>
    <row r="615" spans="1:5" ht="15.75" thickBot="1" x14ac:dyDescent="0.25">
      <c r="A615" s="406" t="s">
        <v>938</v>
      </c>
      <c r="B615" s="395" t="s">
        <v>339</v>
      </c>
      <c r="C615" s="407">
        <v>60</v>
      </c>
      <c r="D615" s="395">
        <v>10</v>
      </c>
      <c r="E615" s="407">
        <f t="shared" si="9"/>
        <v>600</v>
      </c>
    </row>
    <row r="616" spans="1:5" ht="15.75" thickBot="1" x14ac:dyDescent="0.25">
      <c r="A616" s="406" t="s">
        <v>370</v>
      </c>
      <c r="B616" s="395" t="s">
        <v>339</v>
      </c>
      <c r="C616" s="407">
        <v>34</v>
      </c>
      <c r="D616" s="395">
        <v>30</v>
      </c>
      <c r="E616" s="407">
        <f t="shared" si="9"/>
        <v>1020</v>
      </c>
    </row>
    <row r="617" spans="1:5" ht="15.75" thickBot="1" x14ac:dyDescent="0.25">
      <c r="A617" s="406" t="s">
        <v>939</v>
      </c>
      <c r="B617" s="395" t="s">
        <v>536</v>
      </c>
      <c r="C617" s="407">
        <v>70</v>
      </c>
      <c r="D617" s="395">
        <v>0</v>
      </c>
      <c r="E617" s="407">
        <f t="shared" si="9"/>
        <v>0</v>
      </c>
    </row>
    <row r="618" spans="1:5" ht="15.75" thickBot="1" x14ac:dyDescent="0.25">
      <c r="A618" s="406" t="s">
        <v>940</v>
      </c>
      <c r="B618" s="395" t="s">
        <v>339</v>
      </c>
      <c r="C618" s="407">
        <v>70</v>
      </c>
      <c r="D618" s="395">
        <v>0</v>
      </c>
      <c r="E618" s="407">
        <f t="shared" si="9"/>
        <v>0</v>
      </c>
    </row>
    <row r="619" spans="1:5" ht="15.75" thickBot="1" x14ac:dyDescent="0.25">
      <c r="A619" s="406" t="s">
        <v>941</v>
      </c>
      <c r="B619" s="395" t="s">
        <v>199</v>
      </c>
      <c r="C619" s="407">
        <v>30</v>
      </c>
      <c r="D619" s="395">
        <v>100</v>
      </c>
      <c r="E619" s="407">
        <f t="shared" si="9"/>
        <v>3000</v>
      </c>
    </row>
    <row r="620" spans="1:5" ht="15.75" thickBot="1" x14ac:dyDescent="0.25">
      <c r="A620" s="406" t="s">
        <v>942</v>
      </c>
      <c r="B620" s="395" t="s">
        <v>199</v>
      </c>
      <c r="C620" s="407">
        <v>36</v>
      </c>
      <c r="D620" s="395">
        <v>0</v>
      </c>
      <c r="E620" s="407">
        <f t="shared" si="9"/>
        <v>0</v>
      </c>
    </row>
    <row r="621" spans="1:5" ht="15.75" thickBot="1" x14ac:dyDescent="0.25">
      <c r="A621" s="406" t="s">
        <v>943</v>
      </c>
      <c r="B621" s="395" t="s">
        <v>199</v>
      </c>
      <c r="C621" s="407">
        <v>40</v>
      </c>
      <c r="D621" s="395">
        <v>0</v>
      </c>
      <c r="E621" s="407">
        <f t="shared" si="9"/>
        <v>0</v>
      </c>
    </row>
    <row r="622" spans="1:5" ht="15.75" thickBot="1" x14ac:dyDescent="0.25">
      <c r="A622" s="406" t="s">
        <v>944</v>
      </c>
      <c r="B622" s="395" t="s">
        <v>199</v>
      </c>
      <c r="C622" s="407">
        <v>40</v>
      </c>
      <c r="D622" s="395">
        <v>0</v>
      </c>
      <c r="E622" s="407">
        <f t="shared" si="9"/>
        <v>0</v>
      </c>
    </row>
    <row r="623" spans="1:5" ht="15.75" thickBot="1" x14ac:dyDescent="0.25">
      <c r="A623" s="406" t="s">
        <v>945</v>
      </c>
      <c r="B623" s="395" t="s">
        <v>199</v>
      </c>
      <c r="C623" s="407">
        <v>50</v>
      </c>
      <c r="D623" s="395">
        <v>0</v>
      </c>
      <c r="E623" s="407">
        <f t="shared" si="9"/>
        <v>0</v>
      </c>
    </row>
    <row r="624" spans="1:5" ht="15.75" thickBot="1" x14ac:dyDescent="0.25">
      <c r="A624" s="406" t="s">
        <v>946</v>
      </c>
      <c r="B624" s="395" t="s">
        <v>199</v>
      </c>
      <c r="C624" s="407">
        <v>70</v>
      </c>
      <c r="D624" s="395">
        <v>0</v>
      </c>
      <c r="E624" s="407">
        <f t="shared" si="9"/>
        <v>0</v>
      </c>
    </row>
    <row r="625" spans="1:5" ht="15.75" thickBot="1" x14ac:dyDescent="0.25">
      <c r="A625" s="406" t="s">
        <v>947</v>
      </c>
      <c r="B625" s="395" t="s">
        <v>199</v>
      </c>
      <c r="C625" s="407">
        <v>60</v>
      </c>
      <c r="D625" s="395">
        <v>0</v>
      </c>
      <c r="E625" s="407">
        <f t="shared" si="9"/>
        <v>0</v>
      </c>
    </row>
    <row r="626" spans="1:5" ht="15.75" thickBot="1" x14ac:dyDescent="0.25">
      <c r="A626" s="406" t="s">
        <v>948</v>
      </c>
      <c r="B626" s="395" t="s">
        <v>199</v>
      </c>
      <c r="C626" s="407">
        <v>12</v>
      </c>
      <c r="D626" s="395">
        <v>0</v>
      </c>
      <c r="E626" s="407">
        <f t="shared" si="9"/>
        <v>0</v>
      </c>
    </row>
    <row r="627" spans="1:5" ht="15.75" thickBot="1" x14ac:dyDescent="0.25">
      <c r="A627" s="406" t="s">
        <v>949</v>
      </c>
      <c r="B627" s="395" t="s">
        <v>199</v>
      </c>
      <c r="C627" s="407">
        <v>20</v>
      </c>
      <c r="D627" s="395">
        <v>0</v>
      </c>
      <c r="E627" s="407">
        <f t="shared" si="9"/>
        <v>0</v>
      </c>
    </row>
    <row r="628" spans="1:5" ht="15.75" thickBot="1" x14ac:dyDescent="0.25">
      <c r="A628" s="406" t="s">
        <v>950</v>
      </c>
      <c r="B628" s="395" t="s">
        <v>199</v>
      </c>
      <c r="C628" s="407">
        <v>60</v>
      </c>
      <c r="D628" s="395">
        <v>0</v>
      </c>
      <c r="E628" s="407">
        <f t="shared" si="9"/>
        <v>0</v>
      </c>
    </row>
    <row r="629" spans="1:5" ht="15.75" thickBot="1" x14ac:dyDescent="0.25">
      <c r="A629" s="406" t="s">
        <v>951</v>
      </c>
      <c r="B629" s="395" t="s">
        <v>199</v>
      </c>
      <c r="C629" s="407">
        <v>80</v>
      </c>
      <c r="D629" s="395">
        <v>0</v>
      </c>
      <c r="E629" s="407">
        <f t="shared" si="9"/>
        <v>0</v>
      </c>
    </row>
    <row r="630" spans="1:5" ht="15.75" thickBot="1" x14ac:dyDescent="0.25">
      <c r="A630" s="406" t="s">
        <v>952</v>
      </c>
      <c r="B630" s="395" t="s">
        <v>199</v>
      </c>
      <c r="C630" s="407">
        <v>90</v>
      </c>
      <c r="D630" s="395">
        <v>0</v>
      </c>
      <c r="E630" s="407">
        <f t="shared" si="9"/>
        <v>0</v>
      </c>
    </row>
    <row r="631" spans="1:5" ht="15.75" thickBot="1" x14ac:dyDescent="0.25">
      <c r="A631" s="406" t="s">
        <v>953</v>
      </c>
      <c r="B631" s="395" t="s">
        <v>199</v>
      </c>
      <c r="C631" s="407">
        <v>36</v>
      </c>
      <c r="D631" s="395">
        <v>0</v>
      </c>
      <c r="E631" s="407">
        <f t="shared" si="9"/>
        <v>0</v>
      </c>
    </row>
    <row r="632" spans="1:5" ht="15.75" thickBot="1" x14ac:dyDescent="0.25">
      <c r="A632" s="406" t="s">
        <v>954</v>
      </c>
      <c r="B632" s="395" t="s">
        <v>199</v>
      </c>
      <c r="C632" s="407">
        <v>72</v>
      </c>
      <c r="D632" s="395">
        <v>0</v>
      </c>
      <c r="E632" s="407">
        <f t="shared" si="9"/>
        <v>0</v>
      </c>
    </row>
    <row r="633" spans="1:5" ht="15.75" thickBot="1" x14ac:dyDescent="0.25">
      <c r="A633" s="406" t="s">
        <v>955</v>
      </c>
      <c r="B633" s="395" t="s">
        <v>199</v>
      </c>
      <c r="C633" s="407">
        <v>30</v>
      </c>
      <c r="D633" s="395">
        <v>0</v>
      </c>
      <c r="E633" s="407">
        <f t="shared" si="9"/>
        <v>0</v>
      </c>
    </row>
    <row r="634" spans="1:5" ht="15.75" thickBot="1" x14ac:dyDescent="0.25">
      <c r="A634" s="406" t="s">
        <v>956</v>
      </c>
      <c r="B634" s="395" t="s">
        <v>199</v>
      </c>
      <c r="C634" s="407">
        <v>60</v>
      </c>
      <c r="D634" s="395">
        <v>0</v>
      </c>
      <c r="E634" s="407">
        <f t="shared" si="9"/>
        <v>0</v>
      </c>
    </row>
    <row r="635" spans="1:5" ht="15.75" thickBot="1" x14ac:dyDescent="0.25">
      <c r="A635" s="406" t="s">
        <v>957</v>
      </c>
      <c r="B635" s="395" t="s">
        <v>199</v>
      </c>
      <c r="C635" s="407">
        <v>40</v>
      </c>
      <c r="D635" s="395">
        <v>0</v>
      </c>
      <c r="E635" s="407">
        <f t="shared" si="9"/>
        <v>0</v>
      </c>
    </row>
    <row r="636" spans="1:5" ht="15.75" thickBot="1" x14ac:dyDescent="0.25">
      <c r="A636" s="406" t="s">
        <v>958</v>
      </c>
      <c r="B636" s="395" t="s">
        <v>199</v>
      </c>
      <c r="C636" s="407">
        <v>80</v>
      </c>
      <c r="D636" s="395">
        <v>0</v>
      </c>
      <c r="E636" s="407">
        <f t="shared" si="9"/>
        <v>0</v>
      </c>
    </row>
    <row r="637" spans="1:5" ht="15.75" thickBot="1" x14ac:dyDescent="0.25">
      <c r="A637" s="406" t="s">
        <v>959</v>
      </c>
      <c r="B637" s="395" t="s">
        <v>199</v>
      </c>
      <c r="C637" s="407">
        <v>150</v>
      </c>
      <c r="D637" s="395">
        <v>0</v>
      </c>
      <c r="E637" s="407">
        <f t="shared" si="9"/>
        <v>0</v>
      </c>
    </row>
    <row r="638" spans="1:5" ht="15.75" thickBot="1" x14ac:dyDescent="0.25">
      <c r="A638" s="406" t="s">
        <v>960</v>
      </c>
      <c r="B638" s="395" t="s">
        <v>199</v>
      </c>
      <c r="C638" s="407">
        <v>200</v>
      </c>
      <c r="D638" s="395">
        <v>0</v>
      </c>
      <c r="E638" s="407">
        <f t="shared" si="9"/>
        <v>0</v>
      </c>
    </row>
    <row r="639" spans="1:5" ht="15.75" thickBot="1" x14ac:dyDescent="0.25">
      <c r="A639" s="406" t="s">
        <v>961</v>
      </c>
      <c r="B639" s="395" t="s">
        <v>199</v>
      </c>
      <c r="C639" s="407">
        <v>50</v>
      </c>
      <c r="D639" s="395">
        <v>0</v>
      </c>
      <c r="E639" s="407">
        <f t="shared" si="9"/>
        <v>0</v>
      </c>
    </row>
    <row r="640" spans="1:5" ht="15.75" thickBot="1" x14ac:dyDescent="0.25">
      <c r="A640" s="406" t="s">
        <v>962</v>
      </c>
      <c r="B640" s="395" t="s">
        <v>199</v>
      </c>
      <c r="C640" s="407">
        <v>100</v>
      </c>
      <c r="D640" s="395">
        <v>0</v>
      </c>
      <c r="E640" s="407">
        <f t="shared" si="9"/>
        <v>0</v>
      </c>
    </row>
    <row r="641" spans="1:5" ht="15.75" thickBot="1" x14ac:dyDescent="0.25">
      <c r="A641" s="406" t="s">
        <v>963</v>
      </c>
      <c r="B641" s="395" t="s">
        <v>199</v>
      </c>
      <c r="C641" s="407">
        <v>44</v>
      </c>
      <c r="D641" s="395">
        <v>0</v>
      </c>
      <c r="E641" s="407">
        <f t="shared" si="9"/>
        <v>0</v>
      </c>
    </row>
    <row r="642" spans="1:5" ht="15.75" thickBot="1" x14ac:dyDescent="0.25">
      <c r="A642" s="406" t="s">
        <v>964</v>
      </c>
      <c r="B642" s="395" t="s">
        <v>199</v>
      </c>
      <c r="C642" s="407">
        <v>80</v>
      </c>
      <c r="D642" s="395">
        <v>0</v>
      </c>
      <c r="E642" s="407">
        <f t="shared" si="9"/>
        <v>0</v>
      </c>
    </row>
    <row r="643" spans="1:5" ht="15.75" thickBot="1" x14ac:dyDescent="0.25">
      <c r="A643" s="406" t="s">
        <v>965</v>
      </c>
      <c r="B643" s="395" t="s">
        <v>199</v>
      </c>
      <c r="C643" s="407">
        <v>60</v>
      </c>
      <c r="D643" s="395">
        <v>0</v>
      </c>
      <c r="E643" s="407">
        <f t="shared" si="9"/>
        <v>0</v>
      </c>
    </row>
    <row r="644" spans="1:5" ht="15.75" thickBot="1" x14ac:dyDescent="0.25">
      <c r="A644" s="406" t="s">
        <v>966</v>
      </c>
      <c r="B644" s="395" t="s">
        <v>199</v>
      </c>
      <c r="C644" s="407">
        <v>120</v>
      </c>
      <c r="D644" s="395">
        <v>90</v>
      </c>
      <c r="E644" s="407">
        <f t="shared" ref="E644:E675" si="10">PRODUCT(D644,C644)</f>
        <v>10800</v>
      </c>
    </row>
    <row r="645" spans="1:5" ht="15.75" thickBot="1" x14ac:dyDescent="0.25">
      <c r="A645" s="406" t="s">
        <v>967</v>
      </c>
      <c r="B645" s="395" t="s">
        <v>444</v>
      </c>
      <c r="C645" s="407">
        <v>20</v>
      </c>
      <c r="D645" s="395">
        <v>0</v>
      </c>
      <c r="E645" s="407">
        <f t="shared" si="10"/>
        <v>0</v>
      </c>
    </row>
    <row r="646" spans="1:5" ht="15.75" thickBot="1" x14ac:dyDescent="0.25">
      <c r="A646" s="406" t="s">
        <v>968</v>
      </c>
      <c r="B646" s="395" t="s">
        <v>444</v>
      </c>
      <c r="C646" s="407">
        <v>40</v>
      </c>
      <c r="D646" s="395">
        <v>0</v>
      </c>
      <c r="E646" s="407">
        <f t="shared" si="10"/>
        <v>0</v>
      </c>
    </row>
    <row r="647" spans="1:5" ht="15.75" thickBot="1" x14ac:dyDescent="0.25">
      <c r="A647" s="406" t="s">
        <v>969</v>
      </c>
      <c r="B647" s="395" t="s">
        <v>199</v>
      </c>
      <c r="C647" s="407">
        <v>50</v>
      </c>
      <c r="D647" s="395">
        <v>0</v>
      </c>
      <c r="E647" s="407">
        <f t="shared" si="10"/>
        <v>0</v>
      </c>
    </row>
    <row r="648" spans="1:5" ht="15.75" thickBot="1" x14ac:dyDescent="0.25">
      <c r="A648" s="406" t="s">
        <v>970</v>
      </c>
      <c r="B648" s="395" t="s">
        <v>199</v>
      </c>
      <c r="C648" s="407">
        <v>100</v>
      </c>
      <c r="D648" s="395">
        <v>0</v>
      </c>
      <c r="E648" s="407">
        <f t="shared" si="10"/>
        <v>0</v>
      </c>
    </row>
    <row r="649" spans="1:5" ht="15.75" thickBot="1" x14ac:dyDescent="0.25">
      <c r="A649" s="406" t="s">
        <v>971</v>
      </c>
      <c r="B649" s="395" t="s">
        <v>199</v>
      </c>
      <c r="C649" s="407">
        <v>60</v>
      </c>
      <c r="D649" s="395">
        <v>0</v>
      </c>
      <c r="E649" s="407">
        <f t="shared" si="10"/>
        <v>0</v>
      </c>
    </row>
    <row r="650" spans="1:5" ht="15.75" thickBot="1" x14ac:dyDescent="0.25">
      <c r="A650" s="406" t="s">
        <v>972</v>
      </c>
      <c r="B650" s="395" t="s">
        <v>199</v>
      </c>
      <c r="C650" s="407">
        <v>120</v>
      </c>
      <c r="D650" s="395">
        <v>0</v>
      </c>
      <c r="E650" s="407">
        <f t="shared" si="10"/>
        <v>0</v>
      </c>
    </row>
    <row r="651" spans="1:5" ht="15.75" thickBot="1" x14ac:dyDescent="0.25">
      <c r="A651" s="406" t="s">
        <v>973</v>
      </c>
      <c r="B651" s="395" t="s">
        <v>444</v>
      </c>
      <c r="C651" s="407">
        <v>30</v>
      </c>
      <c r="D651" s="395">
        <v>0</v>
      </c>
      <c r="E651" s="407">
        <f t="shared" si="10"/>
        <v>0</v>
      </c>
    </row>
    <row r="652" spans="1:5" ht="15.75" thickBot="1" x14ac:dyDescent="0.25">
      <c r="A652" s="406" t="s">
        <v>974</v>
      </c>
      <c r="B652" s="395" t="s">
        <v>444</v>
      </c>
      <c r="C652" s="407">
        <v>60</v>
      </c>
      <c r="D652" s="395">
        <v>0</v>
      </c>
      <c r="E652" s="407">
        <f t="shared" si="10"/>
        <v>0</v>
      </c>
    </row>
    <row r="653" spans="1:5" ht="15.75" thickBot="1" x14ac:dyDescent="0.25">
      <c r="A653" s="406" t="s">
        <v>975</v>
      </c>
      <c r="B653" s="395" t="s">
        <v>199</v>
      </c>
      <c r="C653" s="407">
        <v>50</v>
      </c>
      <c r="D653" s="395">
        <v>0</v>
      </c>
      <c r="E653" s="407">
        <f t="shared" si="10"/>
        <v>0</v>
      </c>
    </row>
    <row r="654" spans="1:5" ht="15.75" thickBot="1" x14ac:dyDescent="0.25">
      <c r="A654" s="406" t="s">
        <v>976</v>
      </c>
      <c r="B654" s="395" t="s">
        <v>199</v>
      </c>
      <c r="C654" s="407">
        <v>100</v>
      </c>
      <c r="D654" s="395">
        <v>0</v>
      </c>
      <c r="E654" s="407">
        <f t="shared" si="10"/>
        <v>0</v>
      </c>
    </row>
    <row r="655" spans="1:5" ht="15.75" thickBot="1" x14ac:dyDescent="0.25">
      <c r="A655" s="406" t="s">
        <v>977</v>
      </c>
      <c r="B655" s="395" t="s">
        <v>199</v>
      </c>
      <c r="C655" s="407">
        <v>44</v>
      </c>
      <c r="D655" s="395">
        <v>0</v>
      </c>
      <c r="E655" s="407">
        <f t="shared" si="10"/>
        <v>0</v>
      </c>
    </row>
    <row r="656" spans="1:5" ht="15.75" thickBot="1" x14ac:dyDescent="0.25">
      <c r="A656" s="406" t="s">
        <v>978</v>
      </c>
      <c r="B656" s="395" t="s">
        <v>199</v>
      </c>
      <c r="C656" s="407">
        <v>88</v>
      </c>
      <c r="D656" s="395">
        <v>0</v>
      </c>
      <c r="E656" s="407">
        <f t="shared" si="10"/>
        <v>0</v>
      </c>
    </row>
    <row r="657" spans="1:5" ht="15.75" thickBot="1" x14ac:dyDescent="0.25">
      <c r="A657" s="406" t="s">
        <v>979</v>
      </c>
      <c r="B657" s="395" t="s">
        <v>199</v>
      </c>
      <c r="C657" s="407">
        <v>40</v>
      </c>
      <c r="D657" s="395">
        <v>0</v>
      </c>
      <c r="E657" s="407">
        <f t="shared" si="10"/>
        <v>0</v>
      </c>
    </row>
    <row r="658" spans="1:5" ht="15.75" thickBot="1" x14ac:dyDescent="0.25">
      <c r="A658" s="406" t="s">
        <v>980</v>
      </c>
      <c r="B658" s="395" t="s">
        <v>199</v>
      </c>
      <c r="C658" s="407">
        <v>80</v>
      </c>
      <c r="D658" s="395">
        <v>0</v>
      </c>
      <c r="E658" s="407">
        <f t="shared" si="10"/>
        <v>0</v>
      </c>
    </row>
    <row r="659" spans="1:5" ht="15.75" thickBot="1" x14ac:dyDescent="0.25">
      <c r="A659" s="406" t="s">
        <v>981</v>
      </c>
      <c r="B659" s="395" t="s">
        <v>199</v>
      </c>
      <c r="C659" s="407">
        <v>50</v>
      </c>
      <c r="D659" s="395">
        <v>0</v>
      </c>
      <c r="E659" s="407">
        <f t="shared" si="10"/>
        <v>0</v>
      </c>
    </row>
    <row r="660" spans="1:5" ht="15.75" thickBot="1" x14ac:dyDescent="0.25">
      <c r="A660" s="406" t="s">
        <v>982</v>
      </c>
      <c r="B660" s="395" t="s">
        <v>199</v>
      </c>
      <c r="C660" s="407">
        <v>100</v>
      </c>
      <c r="D660" s="395">
        <v>0</v>
      </c>
      <c r="E660" s="407">
        <f t="shared" si="10"/>
        <v>0</v>
      </c>
    </row>
    <row r="661" spans="1:5" ht="15.75" thickBot="1" x14ac:dyDescent="0.25">
      <c r="A661" s="406" t="s">
        <v>983</v>
      </c>
      <c r="B661" s="395" t="s">
        <v>199</v>
      </c>
      <c r="C661" s="407">
        <v>150</v>
      </c>
      <c r="D661" s="395">
        <v>0</v>
      </c>
      <c r="E661" s="407">
        <f t="shared" si="10"/>
        <v>0</v>
      </c>
    </row>
    <row r="662" spans="1:5" ht="15.75" thickBot="1" x14ac:dyDescent="0.25">
      <c r="A662" s="406" t="s">
        <v>984</v>
      </c>
      <c r="B662" s="395" t="s">
        <v>199</v>
      </c>
      <c r="C662" s="407">
        <v>50</v>
      </c>
      <c r="D662" s="395">
        <v>0</v>
      </c>
      <c r="E662" s="407">
        <f t="shared" si="10"/>
        <v>0</v>
      </c>
    </row>
    <row r="663" spans="1:5" ht="15.75" thickBot="1" x14ac:dyDescent="0.25">
      <c r="A663" s="406" t="s">
        <v>985</v>
      </c>
      <c r="B663" s="395" t="s">
        <v>199</v>
      </c>
      <c r="C663" s="407">
        <v>100</v>
      </c>
      <c r="D663" s="395">
        <v>0</v>
      </c>
      <c r="E663" s="407">
        <f t="shared" si="10"/>
        <v>0</v>
      </c>
    </row>
    <row r="664" spans="1:5" ht="15.75" thickBot="1" x14ac:dyDescent="0.25">
      <c r="A664" s="406" t="s">
        <v>986</v>
      </c>
      <c r="B664" s="395" t="s">
        <v>199</v>
      </c>
      <c r="C664" s="407">
        <v>70</v>
      </c>
      <c r="D664" s="395">
        <v>0</v>
      </c>
      <c r="E664" s="407">
        <f t="shared" si="10"/>
        <v>0</v>
      </c>
    </row>
    <row r="665" spans="1:5" ht="15.75" thickBot="1" x14ac:dyDescent="0.25">
      <c r="A665" s="406" t="s">
        <v>987</v>
      </c>
      <c r="B665" s="395" t="s">
        <v>199</v>
      </c>
      <c r="C665" s="407">
        <v>140</v>
      </c>
      <c r="D665" s="395">
        <v>0</v>
      </c>
      <c r="E665" s="407">
        <f t="shared" si="10"/>
        <v>0</v>
      </c>
    </row>
    <row r="666" spans="1:5" ht="15.75" thickBot="1" x14ac:dyDescent="0.25">
      <c r="A666" s="406" t="s">
        <v>988</v>
      </c>
      <c r="B666" s="395" t="s">
        <v>199</v>
      </c>
      <c r="C666" s="407">
        <v>60</v>
      </c>
      <c r="D666" s="395">
        <v>0</v>
      </c>
      <c r="E666" s="407">
        <f t="shared" si="10"/>
        <v>0</v>
      </c>
    </row>
    <row r="667" spans="1:5" ht="15.75" thickBot="1" x14ac:dyDescent="0.25">
      <c r="A667" s="406" t="s">
        <v>989</v>
      </c>
      <c r="B667" s="395" t="s">
        <v>199</v>
      </c>
      <c r="C667" s="407">
        <v>120</v>
      </c>
      <c r="D667" s="395">
        <v>0</v>
      </c>
      <c r="E667" s="407">
        <f t="shared" si="10"/>
        <v>0</v>
      </c>
    </row>
    <row r="668" spans="1:5" ht="15.75" thickBot="1" x14ac:dyDescent="0.25">
      <c r="A668" s="406" t="s">
        <v>990</v>
      </c>
      <c r="B668" s="395" t="s">
        <v>199</v>
      </c>
      <c r="C668" s="407">
        <v>50</v>
      </c>
      <c r="D668" s="395">
        <v>0</v>
      </c>
      <c r="E668" s="407">
        <f t="shared" si="10"/>
        <v>0</v>
      </c>
    </row>
    <row r="669" spans="1:5" ht="15.75" thickBot="1" x14ac:dyDescent="0.25">
      <c r="A669" s="406" t="s">
        <v>991</v>
      </c>
      <c r="B669" s="395" t="s">
        <v>199</v>
      </c>
      <c r="C669" s="407">
        <v>60</v>
      </c>
      <c r="D669" s="395">
        <v>0</v>
      </c>
      <c r="E669" s="407">
        <f t="shared" si="10"/>
        <v>0</v>
      </c>
    </row>
    <row r="670" spans="1:5" ht="15.75" thickBot="1" x14ac:dyDescent="0.25">
      <c r="A670" s="406" t="s">
        <v>992</v>
      </c>
      <c r="B670" s="395" t="s">
        <v>199</v>
      </c>
      <c r="C670" s="407">
        <v>120</v>
      </c>
      <c r="D670" s="395">
        <v>0</v>
      </c>
      <c r="E670" s="407">
        <f t="shared" si="10"/>
        <v>0</v>
      </c>
    </row>
    <row r="671" spans="1:5" ht="15.75" thickBot="1" x14ac:dyDescent="0.25">
      <c r="A671" s="406" t="s">
        <v>993</v>
      </c>
      <c r="B671" s="395" t="s">
        <v>152</v>
      </c>
      <c r="C671" s="407">
        <v>100</v>
      </c>
      <c r="D671" s="395">
        <v>0</v>
      </c>
      <c r="E671" s="407">
        <f t="shared" si="10"/>
        <v>0</v>
      </c>
    </row>
    <row r="672" spans="1:5" ht="15.75" thickBot="1" x14ac:dyDescent="0.25">
      <c r="A672" s="406" t="s">
        <v>994</v>
      </c>
      <c r="B672" s="395" t="s">
        <v>199</v>
      </c>
      <c r="C672" s="407">
        <v>60</v>
      </c>
      <c r="D672" s="395">
        <v>0</v>
      </c>
      <c r="E672" s="407">
        <f t="shared" si="10"/>
        <v>0</v>
      </c>
    </row>
    <row r="673" spans="1:5" ht="15.75" thickBot="1" x14ac:dyDescent="0.25">
      <c r="A673" s="406" t="s">
        <v>995</v>
      </c>
      <c r="B673" s="395" t="s">
        <v>199</v>
      </c>
      <c r="C673" s="407">
        <v>120</v>
      </c>
      <c r="D673" s="395">
        <v>0</v>
      </c>
      <c r="E673" s="407">
        <f t="shared" si="10"/>
        <v>0</v>
      </c>
    </row>
    <row r="674" spans="1:5" ht="15.75" thickBot="1" x14ac:dyDescent="0.25">
      <c r="A674" s="406" t="s">
        <v>996</v>
      </c>
      <c r="B674" s="395" t="s">
        <v>199</v>
      </c>
      <c r="C674" s="407">
        <v>80</v>
      </c>
      <c r="D674" s="395">
        <v>0</v>
      </c>
      <c r="E674" s="407">
        <f t="shared" si="10"/>
        <v>0</v>
      </c>
    </row>
    <row r="675" spans="1:5" ht="15.75" thickBot="1" x14ac:dyDescent="0.25">
      <c r="A675" s="406" t="s">
        <v>997</v>
      </c>
      <c r="B675" s="395" t="s">
        <v>199</v>
      </c>
      <c r="C675" s="407">
        <v>160</v>
      </c>
      <c r="D675" s="395">
        <v>0</v>
      </c>
      <c r="E675" s="407">
        <f t="shared" si="10"/>
        <v>0</v>
      </c>
    </row>
    <row r="676" spans="1:5" s="402" customFormat="1" ht="16.5" thickBot="1" x14ac:dyDescent="0.25">
      <c r="A676" s="439" t="s">
        <v>371</v>
      </c>
      <c r="B676" s="440"/>
      <c r="C676" s="440"/>
      <c r="D676" s="441"/>
      <c r="E676" s="401">
        <f>SUM(E605:E675)</f>
        <v>27920</v>
      </c>
    </row>
    <row r="677" spans="1:5" ht="16.5" thickBot="1" x14ac:dyDescent="0.25">
      <c r="A677" s="436" t="s">
        <v>998</v>
      </c>
      <c r="B677" s="437"/>
      <c r="C677" s="437"/>
      <c r="D677" s="437"/>
      <c r="E677" s="438"/>
    </row>
    <row r="678" spans="1:5" ht="15.75" thickBot="1" x14ac:dyDescent="0.25">
      <c r="A678" s="394" t="s">
        <v>999</v>
      </c>
      <c r="B678" s="395" t="s">
        <v>339</v>
      </c>
      <c r="C678" s="396">
        <v>50</v>
      </c>
      <c r="D678" s="397">
        <v>60</v>
      </c>
      <c r="E678" s="396">
        <v>0</v>
      </c>
    </row>
    <row r="679" spans="1:5" ht="15.75" thickBot="1" x14ac:dyDescent="0.25">
      <c r="A679" s="394" t="s">
        <v>1000</v>
      </c>
      <c r="B679" s="395" t="s">
        <v>431</v>
      </c>
      <c r="C679" s="398">
        <v>50</v>
      </c>
      <c r="D679" s="399">
        <v>0</v>
      </c>
      <c r="E679" s="398">
        <v>0</v>
      </c>
    </row>
    <row r="680" spans="1:5" ht="15.75" thickBot="1" x14ac:dyDescent="0.25">
      <c r="A680" s="394" t="s">
        <v>1001</v>
      </c>
      <c r="B680" s="395" t="s">
        <v>431</v>
      </c>
      <c r="C680" s="398">
        <v>20</v>
      </c>
      <c r="D680" s="399">
        <v>0</v>
      </c>
      <c r="E680" s="398">
        <v>0</v>
      </c>
    </row>
    <row r="681" spans="1:5" ht="15.75" thickBot="1" x14ac:dyDescent="0.25">
      <c r="A681" s="394" t="s">
        <v>1002</v>
      </c>
      <c r="B681" s="395" t="s">
        <v>339</v>
      </c>
      <c r="C681" s="398">
        <v>110</v>
      </c>
      <c r="D681" s="399">
        <v>0</v>
      </c>
      <c r="E681" s="398">
        <v>0</v>
      </c>
    </row>
    <row r="682" spans="1:5" ht="15.75" thickBot="1" x14ac:dyDescent="0.25">
      <c r="A682" s="394" t="s">
        <v>1003</v>
      </c>
      <c r="B682" s="395" t="s">
        <v>339</v>
      </c>
      <c r="C682" s="398">
        <v>60</v>
      </c>
      <c r="D682" s="399">
        <v>0</v>
      </c>
      <c r="E682" s="398">
        <v>0</v>
      </c>
    </row>
    <row r="683" spans="1:5" ht="15.75" thickBot="1" x14ac:dyDescent="0.25">
      <c r="A683" s="394" t="s">
        <v>1004</v>
      </c>
      <c r="B683" s="395" t="s">
        <v>339</v>
      </c>
      <c r="C683" s="398">
        <v>70</v>
      </c>
      <c r="D683" s="399">
        <v>0</v>
      </c>
      <c r="E683" s="398">
        <v>0</v>
      </c>
    </row>
    <row r="684" spans="1:5" ht="15.75" thickBot="1" x14ac:dyDescent="0.25">
      <c r="A684" s="394" t="s">
        <v>1005</v>
      </c>
      <c r="B684" s="395" t="s">
        <v>339</v>
      </c>
      <c r="C684" s="398">
        <v>40</v>
      </c>
      <c r="D684" s="399">
        <v>60</v>
      </c>
      <c r="E684" s="398">
        <v>0</v>
      </c>
    </row>
    <row r="685" spans="1:5" ht="15.75" thickBot="1" x14ac:dyDescent="0.25">
      <c r="A685" s="394" t="s">
        <v>1006</v>
      </c>
      <c r="B685" s="395" t="s">
        <v>339</v>
      </c>
      <c r="C685" s="398">
        <v>50</v>
      </c>
      <c r="D685" s="399">
        <v>0</v>
      </c>
      <c r="E685" s="398">
        <v>0</v>
      </c>
    </row>
    <row r="686" spans="1:5" ht="15.75" thickBot="1" x14ac:dyDescent="0.25">
      <c r="A686" s="394" t="s">
        <v>1007</v>
      </c>
      <c r="B686" s="395" t="s">
        <v>339</v>
      </c>
      <c r="C686" s="398">
        <v>50</v>
      </c>
      <c r="D686" s="399">
        <v>0</v>
      </c>
      <c r="E686" s="398">
        <v>0</v>
      </c>
    </row>
    <row r="687" spans="1:5" ht="15.75" thickBot="1" x14ac:dyDescent="0.25">
      <c r="A687" s="394" t="s">
        <v>1008</v>
      </c>
      <c r="B687" s="395" t="s">
        <v>431</v>
      </c>
      <c r="C687" s="398">
        <v>10</v>
      </c>
      <c r="D687" s="399">
        <v>0</v>
      </c>
      <c r="E687" s="398">
        <v>0</v>
      </c>
    </row>
    <row r="688" spans="1:5" ht="15.75" thickBot="1" x14ac:dyDescent="0.25">
      <c r="A688" s="394" t="s">
        <v>1009</v>
      </c>
      <c r="B688" s="395" t="s">
        <v>339</v>
      </c>
      <c r="C688" s="398">
        <v>50</v>
      </c>
      <c r="D688" s="399">
        <v>0</v>
      </c>
      <c r="E688" s="398">
        <v>0</v>
      </c>
    </row>
    <row r="689" spans="1:5" ht="15.75" thickBot="1" x14ac:dyDescent="0.25">
      <c r="A689" s="394" t="s">
        <v>1010</v>
      </c>
      <c r="B689" s="395" t="s">
        <v>339</v>
      </c>
      <c r="C689" s="398">
        <v>60</v>
      </c>
      <c r="D689" s="399">
        <v>0</v>
      </c>
      <c r="E689" s="398">
        <v>0</v>
      </c>
    </row>
    <row r="690" spans="1:5" ht="15.75" thickBot="1" x14ac:dyDescent="0.25">
      <c r="A690" s="394" t="s">
        <v>1011</v>
      </c>
      <c r="B690" s="395" t="s">
        <v>339</v>
      </c>
      <c r="C690" s="398">
        <v>80</v>
      </c>
      <c r="D690" s="399">
        <v>0</v>
      </c>
      <c r="E690" s="398">
        <v>0</v>
      </c>
    </row>
    <row r="691" spans="1:5" ht="15.75" thickBot="1" x14ac:dyDescent="0.25">
      <c r="A691" s="394" t="s">
        <v>1012</v>
      </c>
      <c r="B691" s="395" t="s">
        <v>431</v>
      </c>
      <c r="C691" s="398">
        <v>50</v>
      </c>
      <c r="D691" s="399">
        <v>0</v>
      </c>
      <c r="E691" s="398">
        <v>0</v>
      </c>
    </row>
    <row r="692" spans="1:5" ht="15.75" thickBot="1" x14ac:dyDescent="0.25">
      <c r="A692" s="394" t="s">
        <v>1013</v>
      </c>
      <c r="B692" s="395" t="s">
        <v>431</v>
      </c>
      <c r="C692" s="398">
        <v>40</v>
      </c>
      <c r="D692" s="399">
        <v>0</v>
      </c>
      <c r="E692" s="398">
        <v>0</v>
      </c>
    </row>
    <row r="693" spans="1:5" ht="15.75" thickBot="1" x14ac:dyDescent="0.25">
      <c r="A693" s="394" t="s">
        <v>1014</v>
      </c>
      <c r="B693" s="395" t="s">
        <v>339</v>
      </c>
      <c r="C693" s="398">
        <v>60</v>
      </c>
      <c r="D693" s="399">
        <v>60</v>
      </c>
      <c r="E693" s="398">
        <v>0</v>
      </c>
    </row>
    <row r="694" spans="1:5" ht="15.75" thickBot="1" x14ac:dyDescent="0.25">
      <c r="A694" s="394" t="s">
        <v>1015</v>
      </c>
      <c r="B694" s="395" t="s">
        <v>339</v>
      </c>
      <c r="C694" s="398">
        <v>110</v>
      </c>
      <c r="D694" s="399">
        <v>0</v>
      </c>
      <c r="E694" s="398">
        <v>0</v>
      </c>
    </row>
    <row r="695" spans="1:5" ht="15.75" thickBot="1" x14ac:dyDescent="0.25">
      <c r="A695" s="394" t="s">
        <v>1016</v>
      </c>
      <c r="B695" s="395" t="s">
        <v>339</v>
      </c>
      <c r="C695" s="398">
        <v>70</v>
      </c>
      <c r="D695" s="399">
        <v>0</v>
      </c>
      <c r="E695" s="398">
        <v>0</v>
      </c>
    </row>
    <row r="696" spans="1:5" ht="15.75" thickBot="1" x14ac:dyDescent="0.25">
      <c r="A696" s="394" t="s">
        <v>1017</v>
      </c>
      <c r="B696" s="395" t="s">
        <v>339</v>
      </c>
      <c r="C696" s="398">
        <v>60</v>
      </c>
      <c r="D696" s="399">
        <v>0</v>
      </c>
      <c r="E696" s="398">
        <v>0</v>
      </c>
    </row>
    <row r="697" spans="1:5" ht="15.75" thickBot="1" x14ac:dyDescent="0.25">
      <c r="A697" s="394" t="s">
        <v>1018</v>
      </c>
      <c r="B697" s="395" t="s">
        <v>339</v>
      </c>
      <c r="C697" s="398">
        <v>50</v>
      </c>
      <c r="D697" s="399">
        <v>0</v>
      </c>
      <c r="E697" s="398">
        <v>0</v>
      </c>
    </row>
    <row r="698" spans="1:5" ht="15.75" thickBot="1" x14ac:dyDescent="0.25">
      <c r="A698" s="394" t="s">
        <v>1019</v>
      </c>
      <c r="B698" s="395" t="s">
        <v>536</v>
      </c>
      <c r="C698" s="398">
        <v>60</v>
      </c>
      <c r="D698" s="399">
        <v>0</v>
      </c>
      <c r="E698" s="398">
        <f t="shared" ref="E698:E751" si="11">PRODUCT(D698,C698)</f>
        <v>0</v>
      </c>
    </row>
    <row r="699" spans="1:5" ht="15.75" thickBot="1" x14ac:dyDescent="0.25">
      <c r="A699" s="394" t="s">
        <v>1020</v>
      </c>
      <c r="B699" s="395" t="s">
        <v>536</v>
      </c>
      <c r="C699" s="398">
        <v>30</v>
      </c>
      <c r="D699" s="399">
        <v>0</v>
      </c>
      <c r="E699" s="398">
        <f t="shared" si="11"/>
        <v>0</v>
      </c>
    </row>
    <row r="700" spans="1:5" ht="15.75" thickBot="1" x14ac:dyDescent="0.25">
      <c r="A700" s="394" t="s">
        <v>1021</v>
      </c>
      <c r="B700" s="395" t="s">
        <v>339</v>
      </c>
      <c r="C700" s="398">
        <v>50</v>
      </c>
      <c r="D700" s="399">
        <v>0</v>
      </c>
      <c r="E700" s="398">
        <f t="shared" si="11"/>
        <v>0</v>
      </c>
    </row>
    <row r="701" spans="1:5" ht="15.75" thickBot="1" x14ac:dyDescent="0.25">
      <c r="A701" s="394" t="s">
        <v>1022</v>
      </c>
      <c r="B701" s="395" t="s">
        <v>199</v>
      </c>
      <c r="C701" s="398">
        <v>80</v>
      </c>
      <c r="D701" s="399">
        <v>0</v>
      </c>
      <c r="E701" s="398">
        <f t="shared" si="11"/>
        <v>0</v>
      </c>
    </row>
    <row r="702" spans="1:5" ht="15.75" thickBot="1" x14ac:dyDescent="0.25">
      <c r="A702" s="394" t="s">
        <v>1023</v>
      </c>
      <c r="B702" s="395" t="s">
        <v>199</v>
      </c>
      <c r="C702" s="398">
        <v>60</v>
      </c>
      <c r="D702" s="399">
        <v>0</v>
      </c>
      <c r="E702" s="398">
        <f t="shared" si="11"/>
        <v>0</v>
      </c>
    </row>
    <row r="703" spans="1:5" ht="15.75" thickBot="1" x14ac:dyDescent="0.25">
      <c r="A703" s="394" t="s">
        <v>1024</v>
      </c>
      <c r="B703" s="395" t="s">
        <v>199</v>
      </c>
      <c r="C703" s="398">
        <v>70</v>
      </c>
      <c r="D703" s="399">
        <v>0</v>
      </c>
      <c r="E703" s="398">
        <f t="shared" si="11"/>
        <v>0</v>
      </c>
    </row>
    <row r="704" spans="1:5" ht="15.75" thickBot="1" x14ac:dyDescent="0.25">
      <c r="A704" s="394" t="s">
        <v>1025</v>
      </c>
      <c r="B704" s="395" t="s">
        <v>444</v>
      </c>
      <c r="C704" s="398">
        <v>60</v>
      </c>
      <c r="D704" s="399">
        <v>0</v>
      </c>
      <c r="E704" s="398">
        <f t="shared" si="11"/>
        <v>0</v>
      </c>
    </row>
    <row r="705" spans="1:5" ht="15.75" thickBot="1" x14ac:dyDescent="0.25">
      <c r="A705" s="394" t="s">
        <v>1026</v>
      </c>
      <c r="B705" s="395" t="s">
        <v>444</v>
      </c>
      <c r="C705" s="398">
        <v>50</v>
      </c>
      <c r="D705" s="399">
        <v>0</v>
      </c>
      <c r="E705" s="398">
        <f t="shared" si="11"/>
        <v>0</v>
      </c>
    </row>
    <row r="706" spans="1:5" ht="15.75" thickBot="1" x14ac:dyDescent="0.25">
      <c r="A706" s="394" t="s">
        <v>1027</v>
      </c>
      <c r="B706" s="395" t="s">
        <v>444</v>
      </c>
      <c r="C706" s="398">
        <v>80</v>
      </c>
      <c r="D706" s="399">
        <v>0</v>
      </c>
      <c r="E706" s="398">
        <f t="shared" si="11"/>
        <v>0</v>
      </c>
    </row>
    <row r="707" spans="1:5" ht="15.75" thickBot="1" x14ac:dyDescent="0.25">
      <c r="A707" s="394" t="s">
        <v>1028</v>
      </c>
      <c r="B707" s="395" t="s">
        <v>444</v>
      </c>
      <c r="C707" s="398">
        <v>30</v>
      </c>
      <c r="D707" s="399">
        <v>0</v>
      </c>
      <c r="E707" s="398">
        <f t="shared" si="11"/>
        <v>0</v>
      </c>
    </row>
    <row r="708" spans="1:5" ht="15.75" thickBot="1" x14ac:dyDescent="0.25">
      <c r="A708" s="394" t="s">
        <v>1029</v>
      </c>
      <c r="B708" s="395" t="s">
        <v>199</v>
      </c>
      <c r="C708" s="398">
        <v>60</v>
      </c>
      <c r="D708" s="399">
        <v>0</v>
      </c>
      <c r="E708" s="398">
        <f t="shared" si="11"/>
        <v>0</v>
      </c>
    </row>
    <row r="709" spans="1:5" ht="15.75" thickBot="1" x14ac:dyDescent="0.25">
      <c r="A709" s="394" t="s">
        <v>1030</v>
      </c>
      <c r="B709" s="395" t="s">
        <v>199</v>
      </c>
      <c r="C709" s="398">
        <v>70</v>
      </c>
      <c r="D709" s="399">
        <v>0</v>
      </c>
      <c r="E709" s="398">
        <f t="shared" si="11"/>
        <v>0</v>
      </c>
    </row>
    <row r="710" spans="1:5" ht="15.75" thickBot="1" x14ac:dyDescent="0.25">
      <c r="A710" s="394" t="s">
        <v>1031</v>
      </c>
      <c r="B710" s="395" t="s">
        <v>444</v>
      </c>
      <c r="C710" s="398">
        <v>30</v>
      </c>
      <c r="D710" s="399">
        <v>0</v>
      </c>
      <c r="E710" s="398">
        <f t="shared" si="11"/>
        <v>0</v>
      </c>
    </row>
    <row r="711" spans="1:5" ht="15.75" thickBot="1" x14ac:dyDescent="0.25">
      <c r="A711" s="394" t="s">
        <v>1032</v>
      </c>
      <c r="B711" s="395" t="s">
        <v>444</v>
      </c>
      <c r="C711" s="398">
        <v>90</v>
      </c>
      <c r="D711" s="399">
        <v>0</v>
      </c>
      <c r="E711" s="398">
        <f t="shared" si="11"/>
        <v>0</v>
      </c>
    </row>
    <row r="712" spans="1:5" ht="15.75" thickBot="1" x14ac:dyDescent="0.25">
      <c r="A712" s="394" t="s">
        <v>1033</v>
      </c>
      <c r="B712" s="395" t="s">
        <v>444</v>
      </c>
      <c r="C712" s="398">
        <v>100</v>
      </c>
      <c r="D712" s="399">
        <v>0</v>
      </c>
      <c r="E712" s="398">
        <f t="shared" si="11"/>
        <v>0</v>
      </c>
    </row>
    <row r="713" spans="1:5" ht="15.75" thickBot="1" x14ac:dyDescent="0.25">
      <c r="A713" s="394" t="s">
        <v>1034</v>
      </c>
      <c r="B713" s="395" t="s">
        <v>444</v>
      </c>
      <c r="C713" s="398">
        <v>90</v>
      </c>
      <c r="D713" s="399">
        <v>0</v>
      </c>
      <c r="E713" s="398">
        <f t="shared" si="11"/>
        <v>0</v>
      </c>
    </row>
    <row r="714" spans="1:5" ht="15.75" thickBot="1" x14ac:dyDescent="0.25">
      <c r="A714" s="394" t="s">
        <v>1035</v>
      </c>
      <c r="B714" s="395" t="s">
        <v>199</v>
      </c>
      <c r="C714" s="398">
        <v>60</v>
      </c>
      <c r="D714" s="399">
        <v>0</v>
      </c>
      <c r="E714" s="398">
        <f t="shared" si="11"/>
        <v>0</v>
      </c>
    </row>
    <row r="715" spans="1:5" ht="15.75" thickBot="1" x14ac:dyDescent="0.25">
      <c r="A715" s="394" t="s">
        <v>1036</v>
      </c>
      <c r="B715" s="395" t="s">
        <v>199</v>
      </c>
      <c r="C715" s="398">
        <v>100</v>
      </c>
      <c r="D715" s="399">
        <v>0</v>
      </c>
      <c r="E715" s="398">
        <f t="shared" si="11"/>
        <v>0</v>
      </c>
    </row>
    <row r="716" spans="1:5" ht="15.75" thickBot="1" x14ac:dyDescent="0.25">
      <c r="A716" s="394" t="s">
        <v>1037</v>
      </c>
      <c r="B716" s="395" t="s">
        <v>199</v>
      </c>
      <c r="C716" s="398">
        <v>120</v>
      </c>
      <c r="D716" s="399">
        <v>0</v>
      </c>
      <c r="E716" s="398">
        <f t="shared" si="11"/>
        <v>0</v>
      </c>
    </row>
    <row r="717" spans="1:5" ht="15.75" thickBot="1" x14ac:dyDescent="0.25">
      <c r="A717" s="394" t="s">
        <v>1038</v>
      </c>
      <c r="B717" s="395" t="s">
        <v>199</v>
      </c>
      <c r="C717" s="398">
        <v>400</v>
      </c>
      <c r="D717" s="399">
        <v>0</v>
      </c>
      <c r="E717" s="398">
        <f t="shared" si="11"/>
        <v>0</v>
      </c>
    </row>
    <row r="718" spans="1:5" ht="15.75" thickBot="1" x14ac:dyDescent="0.25">
      <c r="A718" s="394" t="s">
        <v>1039</v>
      </c>
      <c r="B718" s="395" t="s">
        <v>199</v>
      </c>
      <c r="C718" s="398">
        <v>70</v>
      </c>
      <c r="D718" s="399">
        <v>0</v>
      </c>
      <c r="E718" s="398">
        <f t="shared" si="11"/>
        <v>0</v>
      </c>
    </row>
    <row r="719" spans="1:5" ht="15.75" thickBot="1" x14ac:dyDescent="0.25">
      <c r="A719" s="394" t="s">
        <v>1040</v>
      </c>
      <c r="B719" s="395" t="s">
        <v>199</v>
      </c>
      <c r="C719" s="398">
        <v>160</v>
      </c>
      <c r="D719" s="399">
        <v>0</v>
      </c>
      <c r="E719" s="398">
        <f t="shared" si="11"/>
        <v>0</v>
      </c>
    </row>
    <row r="720" spans="1:5" ht="15.75" thickBot="1" x14ac:dyDescent="0.25">
      <c r="A720" s="394" t="s">
        <v>1041</v>
      </c>
      <c r="B720" s="395" t="s">
        <v>199</v>
      </c>
      <c r="C720" s="398">
        <v>130</v>
      </c>
      <c r="D720" s="399">
        <v>0</v>
      </c>
      <c r="E720" s="398">
        <f t="shared" si="11"/>
        <v>0</v>
      </c>
    </row>
    <row r="721" spans="1:5" ht="15.75" thickBot="1" x14ac:dyDescent="0.25">
      <c r="A721" s="394" t="s">
        <v>1042</v>
      </c>
      <c r="B721" s="395" t="s">
        <v>444</v>
      </c>
      <c r="C721" s="398">
        <v>60</v>
      </c>
      <c r="D721" s="399">
        <v>0</v>
      </c>
      <c r="E721" s="398">
        <f t="shared" si="11"/>
        <v>0</v>
      </c>
    </row>
    <row r="722" spans="1:5" ht="15.75" thickBot="1" x14ac:dyDescent="0.25">
      <c r="A722" s="394" t="s">
        <v>1043</v>
      </c>
      <c r="B722" s="395" t="s">
        <v>444</v>
      </c>
      <c r="C722" s="398">
        <v>60</v>
      </c>
      <c r="D722" s="399">
        <v>0</v>
      </c>
      <c r="E722" s="398">
        <f t="shared" si="11"/>
        <v>0</v>
      </c>
    </row>
    <row r="723" spans="1:5" ht="15.75" thickBot="1" x14ac:dyDescent="0.25">
      <c r="A723" s="394" t="s">
        <v>1044</v>
      </c>
      <c r="B723" s="395" t="s">
        <v>444</v>
      </c>
      <c r="C723" s="398">
        <v>60</v>
      </c>
      <c r="D723" s="399">
        <v>0</v>
      </c>
      <c r="E723" s="398">
        <f t="shared" si="11"/>
        <v>0</v>
      </c>
    </row>
    <row r="724" spans="1:5" ht="15.75" thickBot="1" x14ac:dyDescent="0.25">
      <c r="A724" s="394" t="s">
        <v>1045</v>
      </c>
      <c r="B724" s="395" t="s">
        <v>444</v>
      </c>
      <c r="C724" s="398">
        <v>90</v>
      </c>
      <c r="D724" s="399">
        <v>0</v>
      </c>
      <c r="E724" s="398">
        <f t="shared" si="11"/>
        <v>0</v>
      </c>
    </row>
    <row r="725" spans="1:5" ht="15.75" thickBot="1" x14ac:dyDescent="0.25">
      <c r="A725" s="394" t="s">
        <v>1046</v>
      </c>
      <c r="B725" s="395" t="s">
        <v>444</v>
      </c>
      <c r="C725" s="398">
        <v>90</v>
      </c>
      <c r="D725" s="399">
        <v>0</v>
      </c>
      <c r="E725" s="398">
        <f t="shared" si="11"/>
        <v>0</v>
      </c>
    </row>
    <row r="726" spans="1:5" ht="15.75" thickBot="1" x14ac:dyDescent="0.25">
      <c r="A726" s="394" t="s">
        <v>1047</v>
      </c>
      <c r="B726" s="395" t="s">
        <v>444</v>
      </c>
      <c r="C726" s="398">
        <v>64</v>
      </c>
      <c r="D726" s="399">
        <v>0</v>
      </c>
      <c r="E726" s="398">
        <f t="shared" si="11"/>
        <v>0</v>
      </c>
    </row>
    <row r="727" spans="1:5" ht="15.75" thickBot="1" x14ac:dyDescent="0.25">
      <c r="A727" s="394" t="s">
        <v>1048</v>
      </c>
      <c r="B727" s="395" t="s">
        <v>444</v>
      </c>
      <c r="C727" s="398">
        <v>90</v>
      </c>
      <c r="D727" s="399">
        <v>0</v>
      </c>
      <c r="E727" s="398">
        <f t="shared" si="11"/>
        <v>0</v>
      </c>
    </row>
    <row r="728" spans="1:5" ht="15.75" thickBot="1" x14ac:dyDescent="0.25">
      <c r="A728" s="394" t="s">
        <v>1049</v>
      </c>
      <c r="B728" s="395" t="s">
        <v>444</v>
      </c>
      <c r="C728" s="398">
        <v>90</v>
      </c>
      <c r="D728" s="399">
        <v>0</v>
      </c>
      <c r="E728" s="398">
        <f t="shared" si="11"/>
        <v>0</v>
      </c>
    </row>
    <row r="729" spans="1:5" ht="15.75" thickBot="1" x14ac:dyDescent="0.25">
      <c r="A729" s="394" t="s">
        <v>1050</v>
      </c>
      <c r="B729" s="395" t="s">
        <v>199</v>
      </c>
      <c r="C729" s="398">
        <v>180</v>
      </c>
      <c r="D729" s="399">
        <v>0</v>
      </c>
      <c r="E729" s="398">
        <f t="shared" si="11"/>
        <v>0</v>
      </c>
    </row>
    <row r="730" spans="1:5" ht="15.75" thickBot="1" x14ac:dyDescent="0.25">
      <c r="A730" s="394" t="s">
        <v>1051</v>
      </c>
      <c r="B730" s="395" t="s">
        <v>199</v>
      </c>
      <c r="C730" s="398">
        <v>240</v>
      </c>
      <c r="D730" s="399">
        <v>0</v>
      </c>
      <c r="E730" s="398">
        <f t="shared" si="11"/>
        <v>0</v>
      </c>
    </row>
    <row r="731" spans="1:5" ht="15.75" thickBot="1" x14ac:dyDescent="0.25">
      <c r="A731" s="394" t="s">
        <v>1052</v>
      </c>
      <c r="B731" s="395" t="s">
        <v>444</v>
      </c>
      <c r="C731" s="398">
        <v>170</v>
      </c>
      <c r="D731" s="399">
        <v>0</v>
      </c>
      <c r="E731" s="398">
        <f t="shared" si="11"/>
        <v>0</v>
      </c>
    </row>
    <row r="732" spans="1:5" ht="15.75" thickBot="1" x14ac:dyDescent="0.25">
      <c r="A732" s="394" t="s">
        <v>1053</v>
      </c>
      <c r="B732" s="395" t="s">
        <v>444</v>
      </c>
      <c r="C732" s="398">
        <v>180</v>
      </c>
      <c r="D732" s="399">
        <v>0</v>
      </c>
      <c r="E732" s="398">
        <f t="shared" si="11"/>
        <v>0</v>
      </c>
    </row>
    <row r="733" spans="1:5" ht="15.75" thickBot="1" x14ac:dyDescent="0.25">
      <c r="A733" s="394" t="s">
        <v>1054</v>
      </c>
      <c r="B733" s="395" t="s">
        <v>199</v>
      </c>
      <c r="C733" s="398">
        <v>100</v>
      </c>
      <c r="D733" s="399">
        <v>15</v>
      </c>
      <c r="E733" s="398">
        <f t="shared" si="11"/>
        <v>1500</v>
      </c>
    </row>
    <row r="734" spans="1:5" ht="15.75" thickBot="1" x14ac:dyDescent="0.25">
      <c r="A734" s="394" t="s">
        <v>1055</v>
      </c>
      <c r="B734" s="395" t="s">
        <v>199</v>
      </c>
      <c r="C734" s="398">
        <v>110</v>
      </c>
      <c r="D734" s="399">
        <v>0</v>
      </c>
      <c r="E734" s="398">
        <f t="shared" si="11"/>
        <v>0</v>
      </c>
    </row>
    <row r="735" spans="1:5" ht="15.75" thickBot="1" x14ac:dyDescent="0.25">
      <c r="A735" s="394" t="s">
        <v>1056</v>
      </c>
      <c r="B735" s="395" t="s">
        <v>199</v>
      </c>
      <c r="C735" s="398">
        <v>90</v>
      </c>
      <c r="D735" s="399">
        <v>0</v>
      </c>
      <c r="E735" s="398">
        <f t="shared" si="11"/>
        <v>0</v>
      </c>
    </row>
    <row r="736" spans="1:5" ht="15.75" thickBot="1" x14ac:dyDescent="0.25">
      <c r="A736" s="394" t="s">
        <v>1057</v>
      </c>
      <c r="B736" s="395" t="s">
        <v>199</v>
      </c>
      <c r="C736" s="398">
        <v>100</v>
      </c>
      <c r="D736" s="399">
        <v>0</v>
      </c>
      <c r="E736" s="398">
        <f t="shared" si="11"/>
        <v>0</v>
      </c>
    </row>
    <row r="737" spans="1:5" ht="15.75" thickBot="1" x14ac:dyDescent="0.25">
      <c r="A737" s="394" t="s">
        <v>1058</v>
      </c>
      <c r="B737" s="395" t="s">
        <v>199</v>
      </c>
      <c r="C737" s="398">
        <v>120</v>
      </c>
      <c r="D737" s="399">
        <v>0</v>
      </c>
      <c r="E737" s="398">
        <f t="shared" si="11"/>
        <v>0</v>
      </c>
    </row>
    <row r="738" spans="1:5" ht="15.75" thickBot="1" x14ac:dyDescent="0.25">
      <c r="A738" s="394" t="s">
        <v>1059</v>
      </c>
      <c r="B738" s="395" t="s">
        <v>444</v>
      </c>
      <c r="C738" s="398">
        <v>300</v>
      </c>
      <c r="D738" s="399">
        <v>7.3</v>
      </c>
      <c r="E738" s="398">
        <v>0</v>
      </c>
    </row>
    <row r="739" spans="1:5" ht="15.75" thickBot="1" x14ac:dyDescent="0.25">
      <c r="A739" s="394" t="s">
        <v>1060</v>
      </c>
      <c r="B739" s="395" t="s">
        <v>444</v>
      </c>
      <c r="C739" s="398">
        <v>80</v>
      </c>
      <c r="D739" s="399">
        <v>15</v>
      </c>
      <c r="E739" s="398">
        <f t="shared" si="11"/>
        <v>1200</v>
      </c>
    </row>
    <row r="740" spans="1:5" ht="15.75" thickBot="1" x14ac:dyDescent="0.25">
      <c r="A740" s="394" t="s">
        <v>1061</v>
      </c>
      <c r="B740" s="395" t="s">
        <v>444</v>
      </c>
      <c r="C740" s="398">
        <v>80</v>
      </c>
      <c r="D740" s="399">
        <v>15</v>
      </c>
      <c r="E740" s="398">
        <f t="shared" si="11"/>
        <v>1200</v>
      </c>
    </row>
    <row r="741" spans="1:5" ht="15.75" thickBot="1" x14ac:dyDescent="0.25">
      <c r="A741" s="394" t="s">
        <v>1062</v>
      </c>
      <c r="B741" s="395" t="s">
        <v>444</v>
      </c>
      <c r="C741" s="398">
        <v>90</v>
      </c>
      <c r="D741" s="399">
        <v>0</v>
      </c>
      <c r="E741" s="398">
        <f t="shared" si="11"/>
        <v>0</v>
      </c>
    </row>
    <row r="742" spans="1:5" ht="15.75" thickBot="1" x14ac:dyDescent="0.25">
      <c r="A742" s="394" t="s">
        <v>1063</v>
      </c>
      <c r="B742" s="395" t="s">
        <v>444</v>
      </c>
      <c r="C742" s="398">
        <v>80</v>
      </c>
      <c r="D742" s="399">
        <v>0</v>
      </c>
      <c r="E742" s="398">
        <f t="shared" si="11"/>
        <v>0</v>
      </c>
    </row>
    <row r="743" spans="1:5" ht="15.75" thickBot="1" x14ac:dyDescent="0.25">
      <c r="A743" s="394" t="s">
        <v>1064</v>
      </c>
      <c r="B743" s="395" t="s">
        <v>444</v>
      </c>
      <c r="C743" s="398">
        <v>76</v>
      </c>
      <c r="D743" s="399">
        <v>0</v>
      </c>
      <c r="E743" s="398">
        <f t="shared" si="11"/>
        <v>0</v>
      </c>
    </row>
    <row r="744" spans="1:5" ht="15.75" thickBot="1" x14ac:dyDescent="0.25">
      <c r="A744" s="394" t="s">
        <v>1065</v>
      </c>
      <c r="B744" s="395" t="s">
        <v>444</v>
      </c>
      <c r="C744" s="398">
        <v>90</v>
      </c>
      <c r="D744" s="399">
        <v>0</v>
      </c>
      <c r="E744" s="398">
        <f t="shared" si="11"/>
        <v>0</v>
      </c>
    </row>
    <row r="745" spans="1:5" ht="15.75" thickBot="1" x14ac:dyDescent="0.25">
      <c r="A745" s="394" t="s">
        <v>1066</v>
      </c>
      <c r="B745" s="395" t="s">
        <v>444</v>
      </c>
      <c r="C745" s="398">
        <v>60</v>
      </c>
      <c r="D745" s="399">
        <v>0</v>
      </c>
      <c r="E745" s="398">
        <f t="shared" si="11"/>
        <v>0</v>
      </c>
    </row>
    <row r="746" spans="1:5" ht="15.75" thickBot="1" x14ac:dyDescent="0.25">
      <c r="A746" s="394" t="s">
        <v>1067</v>
      </c>
      <c r="B746" s="395" t="s">
        <v>6</v>
      </c>
      <c r="C746" s="398">
        <v>400</v>
      </c>
      <c r="D746" s="399">
        <v>0</v>
      </c>
      <c r="E746" s="398">
        <f t="shared" si="11"/>
        <v>0</v>
      </c>
    </row>
    <row r="747" spans="1:5" ht="15.75" thickBot="1" x14ac:dyDescent="0.25">
      <c r="A747" s="394" t="s">
        <v>1068</v>
      </c>
      <c r="B747" s="395" t="s">
        <v>6</v>
      </c>
      <c r="C747" s="398">
        <v>600</v>
      </c>
      <c r="D747" s="399">
        <v>0</v>
      </c>
      <c r="E747" s="398">
        <f t="shared" si="11"/>
        <v>0</v>
      </c>
    </row>
    <row r="748" spans="1:5" ht="15.75" thickBot="1" x14ac:dyDescent="0.25">
      <c r="A748" s="394" t="s">
        <v>1069</v>
      </c>
      <c r="B748" s="395" t="s">
        <v>6</v>
      </c>
      <c r="C748" s="398">
        <v>100</v>
      </c>
      <c r="D748" s="399">
        <v>0</v>
      </c>
      <c r="E748" s="398">
        <f t="shared" si="11"/>
        <v>0</v>
      </c>
    </row>
    <row r="749" spans="1:5" ht="15.75" thickBot="1" x14ac:dyDescent="0.25">
      <c r="A749" s="394" t="s">
        <v>1070</v>
      </c>
      <c r="B749" s="395" t="s">
        <v>444</v>
      </c>
      <c r="C749" s="398">
        <v>30</v>
      </c>
      <c r="D749" s="399">
        <v>0</v>
      </c>
      <c r="E749" s="398">
        <f t="shared" si="11"/>
        <v>0</v>
      </c>
    </row>
    <row r="750" spans="1:5" ht="15.75" thickBot="1" x14ac:dyDescent="0.25">
      <c r="A750" s="394" t="s">
        <v>1071</v>
      </c>
      <c r="B750" s="395" t="s">
        <v>444</v>
      </c>
      <c r="C750" s="398">
        <v>40</v>
      </c>
      <c r="D750" s="399">
        <v>0</v>
      </c>
      <c r="E750" s="398">
        <f t="shared" si="11"/>
        <v>0</v>
      </c>
    </row>
    <row r="751" spans="1:5" ht="15.75" thickBot="1" x14ac:dyDescent="0.25">
      <c r="A751" s="394" t="s">
        <v>1072</v>
      </c>
      <c r="B751" s="395" t="s">
        <v>199</v>
      </c>
      <c r="C751" s="398">
        <v>360</v>
      </c>
      <c r="D751" s="399">
        <v>0</v>
      </c>
      <c r="E751" s="398">
        <f t="shared" si="11"/>
        <v>0</v>
      </c>
    </row>
    <row r="752" spans="1:5" s="402" customFormat="1" ht="16.5" thickBot="1" x14ac:dyDescent="0.25">
      <c r="A752" s="439" t="s">
        <v>371</v>
      </c>
      <c r="B752" s="440"/>
      <c r="C752" s="440"/>
      <c r="D752" s="441"/>
      <c r="E752" s="401">
        <f>SUM(E678:E751)</f>
        <v>3900</v>
      </c>
    </row>
    <row r="753" spans="1:5" ht="16.5" customHeight="1" x14ac:dyDescent="0.2">
      <c r="A753" s="442" t="s">
        <v>1073</v>
      </c>
      <c r="B753" s="443"/>
      <c r="C753" s="443"/>
      <c r="D753" s="444"/>
      <c r="E753" s="448">
        <f>SUM(E30,E86,E161,E232,E315,E342,E361,E402,E426,E470,E603,E676,E752)</f>
        <v>120405.2</v>
      </c>
    </row>
    <row r="754" spans="1:5" s="408" customFormat="1" ht="16.5" customHeight="1" thickBot="1" x14ac:dyDescent="0.25">
      <c r="A754" s="445"/>
      <c r="B754" s="446"/>
      <c r="C754" s="446"/>
      <c r="D754" s="447"/>
      <c r="E754" s="449"/>
    </row>
  </sheetData>
  <mergeCells count="30">
    <mergeCell ref="A315:D315"/>
    <mergeCell ref="A2:E2"/>
    <mergeCell ref="A30:D30"/>
    <mergeCell ref="A31:E31"/>
    <mergeCell ref="A86:D86"/>
    <mergeCell ref="A87:E87"/>
    <mergeCell ref="A161:D161"/>
    <mergeCell ref="A162:E162"/>
    <mergeCell ref="A186:D186"/>
    <mergeCell ref="A187:E187"/>
    <mergeCell ref="A232:D232"/>
    <mergeCell ref="A233:E233"/>
    <mergeCell ref="A603:D603"/>
    <mergeCell ref="A316:E316"/>
    <mergeCell ref="A342:D342"/>
    <mergeCell ref="A343:E343"/>
    <mergeCell ref="A361:D361"/>
    <mergeCell ref="A362:E362"/>
    <mergeCell ref="A402:D402"/>
    <mergeCell ref="A403:E403"/>
    <mergeCell ref="A426:D426"/>
    <mergeCell ref="A427:E427"/>
    <mergeCell ref="A470:D470"/>
    <mergeCell ref="A471:E471"/>
    <mergeCell ref="A604:E604"/>
    <mergeCell ref="A676:D676"/>
    <mergeCell ref="A677:E677"/>
    <mergeCell ref="A752:D752"/>
    <mergeCell ref="A753:D754"/>
    <mergeCell ref="E753:E754"/>
  </mergeCells>
  <pageMargins left="0.7" right="0.7" top="0.75" bottom="0.75" header="0.3" footer="0.3"/>
  <pageSetup paperSize="9" scale="54" orientation="portrait" r:id="rId1"/>
  <rowBreaks count="1" manualBreakCount="1">
    <brk id="60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M40"/>
  <sheetViews>
    <sheetView topLeftCell="A19" zoomScaleNormal="100" workbookViewId="0">
      <selection activeCell="D9" sqref="D9"/>
    </sheetView>
  </sheetViews>
  <sheetFormatPr baseColWidth="10" defaultRowHeight="12.75" x14ac:dyDescent="0.2"/>
  <cols>
    <col min="1" max="1" width="6.140625" style="1" customWidth="1"/>
    <col min="2" max="2" width="17" style="1" customWidth="1"/>
    <col min="3" max="3" width="9" style="1" customWidth="1"/>
    <col min="4" max="4" width="10.28515625" style="1" customWidth="1"/>
    <col min="5" max="5" width="8" style="1" customWidth="1"/>
    <col min="6" max="7" width="9.7109375" style="1" customWidth="1"/>
    <col min="8" max="8" width="9.42578125" style="1" customWidth="1"/>
    <col min="9" max="9" width="10.7109375" style="1" customWidth="1"/>
    <col min="10" max="10" width="9.42578125" style="1" customWidth="1"/>
    <col min="11" max="11" width="9.28515625" style="1" customWidth="1"/>
    <col min="12" max="12" width="9.7109375" style="1" customWidth="1"/>
    <col min="13" max="256" width="11.42578125" style="1"/>
    <col min="257" max="257" width="6.140625" style="1" customWidth="1"/>
    <col min="258" max="258" width="17" style="1" customWidth="1"/>
    <col min="259" max="259" width="9" style="1" customWidth="1"/>
    <col min="260" max="260" width="10.28515625" style="1" customWidth="1"/>
    <col min="261" max="261" width="8" style="1" customWidth="1"/>
    <col min="262" max="263" width="9.7109375" style="1" customWidth="1"/>
    <col min="264" max="264" width="9.42578125" style="1" customWidth="1"/>
    <col min="265" max="265" width="10.7109375" style="1" customWidth="1"/>
    <col min="266" max="266" width="9.42578125" style="1" customWidth="1"/>
    <col min="267" max="267" width="9.28515625" style="1" customWidth="1"/>
    <col min="268" max="268" width="9.7109375" style="1" customWidth="1"/>
    <col min="269" max="512" width="11.42578125" style="1"/>
    <col min="513" max="513" width="6.140625" style="1" customWidth="1"/>
    <col min="514" max="514" width="17" style="1" customWidth="1"/>
    <col min="515" max="515" width="9" style="1" customWidth="1"/>
    <col min="516" max="516" width="10.28515625" style="1" customWidth="1"/>
    <col min="517" max="517" width="8" style="1" customWidth="1"/>
    <col min="518" max="519" width="9.7109375" style="1" customWidth="1"/>
    <col min="520" max="520" width="9.42578125" style="1" customWidth="1"/>
    <col min="521" max="521" width="10.7109375" style="1" customWidth="1"/>
    <col min="522" max="522" width="9.42578125" style="1" customWidth="1"/>
    <col min="523" max="523" width="9.28515625" style="1" customWidth="1"/>
    <col min="524" max="524" width="9.7109375" style="1" customWidth="1"/>
    <col min="525" max="768" width="11.42578125" style="1"/>
    <col min="769" max="769" width="6.140625" style="1" customWidth="1"/>
    <col min="770" max="770" width="17" style="1" customWidth="1"/>
    <col min="771" max="771" width="9" style="1" customWidth="1"/>
    <col min="772" max="772" width="10.28515625" style="1" customWidth="1"/>
    <col min="773" max="773" width="8" style="1" customWidth="1"/>
    <col min="774" max="775" width="9.7109375" style="1" customWidth="1"/>
    <col min="776" max="776" width="9.42578125" style="1" customWidth="1"/>
    <col min="777" max="777" width="10.7109375" style="1" customWidth="1"/>
    <col min="778" max="778" width="9.42578125" style="1" customWidth="1"/>
    <col min="779" max="779" width="9.28515625" style="1" customWidth="1"/>
    <col min="780" max="780" width="9.7109375" style="1" customWidth="1"/>
    <col min="781" max="1024" width="11.42578125" style="1"/>
    <col min="1025" max="1025" width="6.140625" style="1" customWidth="1"/>
    <col min="1026" max="1026" width="17" style="1" customWidth="1"/>
    <col min="1027" max="1027" width="9" style="1" customWidth="1"/>
    <col min="1028" max="1028" width="10.28515625" style="1" customWidth="1"/>
    <col min="1029" max="1029" width="8" style="1" customWidth="1"/>
    <col min="1030" max="1031" width="9.7109375" style="1" customWidth="1"/>
    <col min="1032" max="1032" width="9.42578125" style="1" customWidth="1"/>
    <col min="1033" max="1033" width="10.7109375" style="1" customWidth="1"/>
    <col min="1034" max="1034" width="9.42578125" style="1" customWidth="1"/>
    <col min="1035" max="1035" width="9.28515625" style="1" customWidth="1"/>
    <col min="1036" max="1036" width="9.7109375" style="1" customWidth="1"/>
    <col min="1037" max="1280" width="11.42578125" style="1"/>
    <col min="1281" max="1281" width="6.140625" style="1" customWidth="1"/>
    <col min="1282" max="1282" width="17" style="1" customWidth="1"/>
    <col min="1283" max="1283" width="9" style="1" customWidth="1"/>
    <col min="1284" max="1284" width="10.28515625" style="1" customWidth="1"/>
    <col min="1285" max="1285" width="8" style="1" customWidth="1"/>
    <col min="1286" max="1287" width="9.7109375" style="1" customWidth="1"/>
    <col min="1288" max="1288" width="9.42578125" style="1" customWidth="1"/>
    <col min="1289" max="1289" width="10.7109375" style="1" customWidth="1"/>
    <col min="1290" max="1290" width="9.42578125" style="1" customWidth="1"/>
    <col min="1291" max="1291" width="9.28515625" style="1" customWidth="1"/>
    <col min="1292" max="1292" width="9.7109375" style="1" customWidth="1"/>
    <col min="1293" max="1536" width="11.42578125" style="1"/>
    <col min="1537" max="1537" width="6.140625" style="1" customWidth="1"/>
    <col min="1538" max="1538" width="17" style="1" customWidth="1"/>
    <col min="1539" max="1539" width="9" style="1" customWidth="1"/>
    <col min="1540" max="1540" width="10.28515625" style="1" customWidth="1"/>
    <col min="1541" max="1541" width="8" style="1" customWidth="1"/>
    <col min="1542" max="1543" width="9.7109375" style="1" customWidth="1"/>
    <col min="1544" max="1544" width="9.42578125" style="1" customWidth="1"/>
    <col min="1545" max="1545" width="10.7109375" style="1" customWidth="1"/>
    <col min="1546" max="1546" width="9.42578125" style="1" customWidth="1"/>
    <col min="1547" max="1547" width="9.28515625" style="1" customWidth="1"/>
    <col min="1548" max="1548" width="9.7109375" style="1" customWidth="1"/>
    <col min="1549" max="1792" width="11.42578125" style="1"/>
    <col min="1793" max="1793" width="6.140625" style="1" customWidth="1"/>
    <col min="1794" max="1794" width="17" style="1" customWidth="1"/>
    <col min="1795" max="1795" width="9" style="1" customWidth="1"/>
    <col min="1796" max="1796" width="10.28515625" style="1" customWidth="1"/>
    <col min="1797" max="1797" width="8" style="1" customWidth="1"/>
    <col min="1798" max="1799" width="9.7109375" style="1" customWidth="1"/>
    <col min="1800" max="1800" width="9.42578125" style="1" customWidth="1"/>
    <col min="1801" max="1801" width="10.7109375" style="1" customWidth="1"/>
    <col min="1802" max="1802" width="9.42578125" style="1" customWidth="1"/>
    <col min="1803" max="1803" width="9.28515625" style="1" customWidth="1"/>
    <col min="1804" max="1804" width="9.7109375" style="1" customWidth="1"/>
    <col min="1805" max="2048" width="11.42578125" style="1"/>
    <col min="2049" max="2049" width="6.140625" style="1" customWidth="1"/>
    <col min="2050" max="2050" width="17" style="1" customWidth="1"/>
    <col min="2051" max="2051" width="9" style="1" customWidth="1"/>
    <col min="2052" max="2052" width="10.28515625" style="1" customWidth="1"/>
    <col min="2053" max="2053" width="8" style="1" customWidth="1"/>
    <col min="2054" max="2055" width="9.7109375" style="1" customWidth="1"/>
    <col min="2056" max="2056" width="9.42578125" style="1" customWidth="1"/>
    <col min="2057" max="2057" width="10.7109375" style="1" customWidth="1"/>
    <col min="2058" max="2058" width="9.42578125" style="1" customWidth="1"/>
    <col min="2059" max="2059" width="9.28515625" style="1" customWidth="1"/>
    <col min="2060" max="2060" width="9.7109375" style="1" customWidth="1"/>
    <col min="2061" max="2304" width="11.42578125" style="1"/>
    <col min="2305" max="2305" width="6.140625" style="1" customWidth="1"/>
    <col min="2306" max="2306" width="17" style="1" customWidth="1"/>
    <col min="2307" max="2307" width="9" style="1" customWidth="1"/>
    <col min="2308" max="2308" width="10.28515625" style="1" customWidth="1"/>
    <col min="2309" max="2309" width="8" style="1" customWidth="1"/>
    <col min="2310" max="2311" width="9.7109375" style="1" customWidth="1"/>
    <col min="2312" max="2312" width="9.42578125" style="1" customWidth="1"/>
    <col min="2313" max="2313" width="10.7109375" style="1" customWidth="1"/>
    <col min="2314" max="2314" width="9.42578125" style="1" customWidth="1"/>
    <col min="2315" max="2315" width="9.28515625" style="1" customWidth="1"/>
    <col min="2316" max="2316" width="9.7109375" style="1" customWidth="1"/>
    <col min="2317" max="2560" width="11.42578125" style="1"/>
    <col min="2561" max="2561" width="6.140625" style="1" customWidth="1"/>
    <col min="2562" max="2562" width="17" style="1" customWidth="1"/>
    <col min="2563" max="2563" width="9" style="1" customWidth="1"/>
    <col min="2564" max="2564" width="10.28515625" style="1" customWidth="1"/>
    <col min="2565" max="2565" width="8" style="1" customWidth="1"/>
    <col min="2566" max="2567" width="9.7109375" style="1" customWidth="1"/>
    <col min="2568" max="2568" width="9.42578125" style="1" customWidth="1"/>
    <col min="2569" max="2569" width="10.7109375" style="1" customWidth="1"/>
    <col min="2570" max="2570" width="9.42578125" style="1" customWidth="1"/>
    <col min="2571" max="2571" width="9.28515625" style="1" customWidth="1"/>
    <col min="2572" max="2572" width="9.7109375" style="1" customWidth="1"/>
    <col min="2573" max="2816" width="11.42578125" style="1"/>
    <col min="2817" max="2817" width="6.140625" style="1" customWidth="1"/>
    <col min="2818" max="2818" width="17" style="1" customWidth="1"/>
    <col min="2819" max="2819" width="9" style="1" customWidth="1"/>
    <col min="2820" max="2820" width="10.28515625" style="1" customWidth="1"/>
    <col min="2821" max="2821" width="8" style="1" customWidth="1"/>
    <col min="2822" max="2823" width="9.7109375" style="1" customWidth="1"/>
    <col min="2824" max="2824" width="9.42578125" style="1" customWidth="1"/>
    <col min="2825" max="2825" width="10.7109375" style="1" customWidth="1"/>
    <col min="2826" max="2826" width="9.42578125" style="1" customWidth="1"/>
    <col min="2827" max="2827" width="9.28515625" style="1" customWidth="1"/>
    <col min="2828" max="2828" width="9.7109375" style="1" customWidth="1"/>
    <col min="2829" max="3072" width="11.42578125" style="1"/>
    <col min="3073" max="3073" width="6.140625" style="1" customWidth="1"/>
    <col min="3074" max="3074" width="17" style="1" customWidth="1"/>
    <col min="3075" max="3075" width="9" style="1" customWidth="1"/>
    <col min="3076" max="3076" width="10.28515625" style="1" customWidth="1"/>
    <col min="3077" max="3077" width="8" style="1" customWidth="1"/>
    <col min="3078" max="3079" width="9.7109375" style="1" customWidth="1"/>
    <col min="3080" max="3080" width="9.42578125" style="1" customWidth="1"/>
    <col min="3081" max="3081" width="10.7109375" style="1" customWidth="1"/>
    <col min="3082" max="3082" width="9.42578125" style="1" customWidth="1"/>
    <col min="3083" max="3083" width="9.28515625" style="1" customWidth="1"/>
    <col min="3084" max="3084" width="9.7109375" style="1" customWidth="1"/>
    <col min="3085" max="3328" width="11.42578125" style="1"/>
    <col min="3329" max="3329" width="6.140625" style="1" customWidth="1"/>
    <col min="3330" max="3330" width="17" style="1" customWidth="1"/>
    <col min="3331" max="3331" width="9" style="1" customWidth="1"/>
    <col min="3332" max="3332" width="10.28515625" style="1" customWidth="1"/>
    <col min="3333" max="3333" width="8" style="1" customWidth="1"/>
    <col min="3334" max="3335" width="9.7109375" style="1" customWidth="1"/>
    <col min="3336" max="3336" width="9.42578125" style="1" customWidth="1"/>
    <col min="3337" max="3337" width="10.7109375" style="1" customWidth="1"/>
    <col min="3338" max="3338" width="9.42578125" style="1" customWidth="1"/>
    <col min="3339" max="3339" width="9.28515625" style="1" customWidth="1"/>
    <col min="3340" max="3340" width="9.7109375" style="1" customWidth="1"/>
    <col min="3341" max="3584" width="11.42578125" style="1"/>
    <col min="3585" max="3585" width="6.140625" style="1" customWidth="1"/>
    <col min="3586" max="3586" width="17" style="1" customWidth="1"/>
    <col min="3587" max="3587" width="9" style="1" customWidth="1"/>
    <col min="3588" max="3588" width="10.28515625" style="1" customWidth="1"/>
    <col min="3589" max="3589" width="8" style="1" customWidth="1"/>
    <col min="3590" max="3591" width="9.7109375" style="1" customWidth="1"/>
    <col min="3592" max="3592" width="9.42578125" style="1" customWidth="1"/>
    <col min="3593" max="3593" width="10.7109375" style="1" customWidth="1"/>
    <col min="3594" max="3594" width="9.42578125" style="1" customWidth="1"/>
    <col min="3595" max="3595" width="9.28515625" style="1" customWidth="1"/>
    <col min="3596" max="3596" width="9.7109375" style="1" customWidth="1"/>
    <col min="3597" max="3840" width="11.42578125" style="1"/>
    <col min="3841" max="3841" width="6.140625" style="1" customWidth="1"/>
    <col min="3842" max="3842" width="17" style="1" customWidth="1"/>
    <col min="3843" max="3843" width="9" style="1" customWidth="1"/>
    <col min="3844" max="3844" width="10.28515625" style="1" customWidth="1"/>
    <col min="3845" max="3845" width="8" style="1" customWidth="1"/>
    <col min="3846" max="3847" width="9.7109375" style="1" customWidth="1"/>
    <col min="3848" max="3848" width="9.42578125" style="1" customWidth="1"/>
    <col min="3849" max="3849" width="10.7109375" style="1" customWidth="1"/>
    <col min="3850" max="3850" width="9.42578125" style="1" customWidth="1"/>
    <col min="3851" max="3851" width="9.28515625" style="1" customWidth="1"/>
    <col min="3852" max="3852" width="9.7109375" style="1" customWidth="1"/>
    <col min="3853" max="4096" width="11.42578125" style="1"/>
    <col min="4097" max="4097" width="6.140625" style="1" customWidth="1"/>
    <col min="4098" max="4098" width="17" style="1" customWidth="1"/>
    <col min="4099" max="4099" width="9" style="1" customWidth="1"/>
    <col min="4100" max="4100" width="10.28515625" style="1" customWidth="1"/>
    <col min="4101" max="4101" width="8" style="1" customWidth="1"/>
    <col min="4102" max="4103" width="9.7109375" style="1" customWidth="1"/>
    <col min="4104" max="4104" width="9.42578125" style="1" customWidth="1"/>
    <col min="4105" max="4105" width="10.7109375" style="1" customWidth="1"/>
    <col min="4106" max="4106" width="9.42578125" style="1" customWidth="1"/>
    <col min="4107" max="4107" width="9.28515625" style="1" customWidth="1"/>
    <col min="4108" max="4108" width="9.7109375" style="1" customWidth="1"/>
    <col min="4109" max="4352" width="11.42578125" style="1"/>
    <col min="4353" max="4353" width="6.140625" style="1" customWidth="1"/>
    <col min="4354" max="4354" width="17" style="1" customWidth="1"/>
    <col min="4355" max="4355" width="9" style="1" customWidth="1"/>
    <col min="4356" max="4356" width="10.28515625" style="1" customWidth="1"/>
    <col min="4357" max="4357" width="8" style="1" customWidth="1"/>
    <col min="4358" max="4359" width="9.7109375" style="1" customWidth="1"/>
    <col min="4360" max="4360" width="9.42578125" style="1" customWidth="1"/>
    <col min="4361" max="4361" width="10.7109375" style="1" customWidth="1"/>
    <col min="4362" max="4362" width="9.42578125" style="1" customWidth="1"/>
    <col min="4363" max="4363" width="9.28515625" style="1" customWidth="1"/>
    <col min="4364" max="4364" width="9.7109375" style="1" customWidth="1"/>
    <col min="4365" max="4608" width="11.42578125" style="1"/>
    <col min="4609" max="4609" width="6.140625" style="1" customWidth="1"/>
    <col min="4610" max="4610" width="17" style="1" customWidth="1"/>
    <col min="4611" max="4611" width="9" style="1" customWidth="1"/>
    <col min="4612" max="4612" width="10.28515625" style="1" customWidth="1"/>
    <col min="4613" max="4613" width="8" style="1" customWidth="1"/>
    <col min="4614" max="4615" width="9.7109375" style="1" customWidth="1"/>
    <col min="4616" max="4616" width="9.42578125" style="1" customWidth="1"/>
    <col min="4617" max="4617" width="10.7109375" style="1" customWidth="1"/>
    <col min="4618" max="4618" width="9.42578125" style="1" customWidth="1"/>
    <col min="4619" max="4619" width="9.28515625" style="1" customWidth="1"/>
    <col min="4620" max="4620" width="9.7109375" style="1" customWidth="1"/>
    <col min="4621" max="4864" width="11.42578125" style="1"/>
    <col min="4865" max="4865" width="6.140625" style="1" customWidth="1"/>
    <col min="4866" max="4866" width="17" style="1" customWidth="1"/>
    <col min="4867" max="4867" width="9" style="1" customWidth="1"/>
    <col min="4868" max="4868" width="10.28515625" style="1" customWidth="1"/>
    <col min="4869" max="4869" width="8" style="1" customWidth="1"/>
    <col min="4870" max="4871" width="9.7109375" style="1" customWidth="1"/>
    <col min="4872" max="4872" width="9.42578125" style="1" customWidth="1"/>
    <col min="4873" max="4873" width="10.7109375" style="1" customWidth="1"/>
    <col min="4874" max="4874" width="9.42578125" style="1" customWidth="1"/>
    <col min="4875" max="4875" width="9.28515625" style="1" customWidth="1"/>
    <col min="4876" max="4876" width="9.7109375" style="1" customWidth="1"/>
    <col min="4877" max="5120" width="11.42578125" style="1"/>
    <col min="5121" max="5121" width="6.140625" style="1" customWidth="1"/>
    <col min="5122" max="5122" width="17" style="1" customWidth="1"/>
    <col min="5123" max="5123" width="9" style="1" customWidth="1"/>
    <col min="5124" max="5124" width="10.28515625" style="1" customWidth="1"/>
    <col min="5125" max="5125" width="8" style="1" customWidth="1"/>
    <col min="5126" max="5127" width="9.7109375" style="1" customWidth="1"/>
    <col min="5128" max="5128" width="9.42578125" style="1" customWidth="1"/>
    <col min="5129" max="5129" width="10.7109375" style="1" customWidth="1"/>
    <col min="5130" max="5130" width="9.42578125" style="1" customWidth="1"/>
    <col min="5131" max="5131" width="9.28515625" style="1" customWidth="1"/>
    <col min="5132" max="5132" width="9.7109375" style="1" customWidth="1"/>
    <col min="5133" max="5376" width="11.42578125" style="1"/>
    <col min="5377" max="5377" width="6.140625" style="1" customWidth="1"/>
    <col min="5378" max="5378" width="17" style="1" customWidth="1"/>
    <col min="5379" max="5379" width="9" style="1" customWidth="1"/>
    <col min="5380" max="5380" width="10.28515625" style="1" customWidth="1"/>
    <col min="5381" max="5381" width="8" style="1" customWidth="1"/>
    <col min="5382" max="5383" width="9.7109375" style="1" customWidth="1"/>
    <col min="5384" max="5384" width="9.42578125" style="1" customWidth="1"/>
    <col min="5385" max="5385" width="10.7109375" style="1" customWidth="1"/>
    <col min="5386" max="5386" width="9.42578125" style="1" customWidth="1"/>
    <col min="5387" max="5387" width="9.28515625" style="1" customWidth="1"/>
    <col min="5388" max="5388" width="9.7109375" style="1" customWidth="1"/>
    <col min="5389" max="5632" width="11.42578125" style="1"/>
    <col min="5633" max="5633" width="6.140625" style="1" customWidth="1"/>
    <col min="5634" max="5634" width="17" style="1" customWidth="1"/>
    <col min="5635" max="5635" width="9" style="1" customWidth="1"/>
    <col min="5636" max="5636" width="10.28515625" style="1" customWidth="1"/>
    <col min="5637" max="5637" width="8" style="1" customWidth="1"/>
    <col min="5638" max="5639" width="9.7109375" style="1" customWidth="1"/>
    <col min="5640" max="5640" width="9.42578125" style="1" customWidth="1"/>
    <col min="5641" max="5641" width="10.7109375" style="1" customWidth="1"/>
    <col min="5642" max="5642" width="9.42578125" style="1" customWidth="1"/>
    <col min="5643" max="5643" width="9.28515625" style="1" customWidth="1"/>
    <col min="5644" max="5644" width="9.7109375" style="1" customWidth="1"/>
    <col min="5645" max="5888" width="11.42578125" style="1"/>
    <col min="5889" max="5889" width="6.140625" style="1" customWidth="1"/>
    <col min="5890" max="5890" width="17" style="1" customWidth="1"/>
    <col min="5891" max="5891" width="9" style="1" customWidth="1"/>
    <col min="5892" max="5892" width="10.28515625" style="1" customWidth="1"/>
    <col min="5893" max="5893" width="8" style="1" customWidth="1"/>
    <col min="5894" max="5895" width="9.7109375" style="1" customWidth="1"/>
    <col min="5896" max="5896" width="9.42578125" style="1" customWidth="1"/>
    <col min="5897" max="5897" width="10.7109375" style="1" customWidth="1"/>
    <col min="5898" max="5898" width="9.42578125" style="1" customWidth="1"/>
    <col min="5899" max="5899" width="9.28515625" style="1" customWidth="1"/>
    <col min="5900" max="5900" width="9.7109375" style="1" customWidth="1"/>
    <col min="5901" max="6144" width="11.42578125" style="1"/>
    <col min="6145" max="6145" width="6.140625" style="1" customWidth="1"/>
    <col min="6146" max="6146" width="17" style="1" customWidth="1"/>
    <col min="6147" max="6147" width="9" style="1" customWidth="1"/>
    <col min="6148" max="6148" width="10.28515625" style="1" customWidth="1"/>
    <col min="6149" max="6149" width="8" style="1" customWidth="1"/>
    <col min="6150" max="6151" width="9.7109375" style="1" customWidth="1"/>
    <col min="6152" max="6152" width="9.42578125" style="1" customWidth="1"/>
    <col min="6153" max="6153" width="10.7109375" style="1" customWidth="1"/>
    <col min="6154" max="6154" width="9.42578125" style="1" customWidth="1"/>
    <col min="6155" max="6155" width="9.28515625" style="1" customWidth="1"/>
    <col min="6156" max="6156" width="9.7109375" style="1" customWidth="1"/>
    <col min="6157" max="6400" width="11.42578125" style="1"/>
    <col min="6401" max="6401" width="6.140625" style="1" customWidth="1"/>
    <col min="6402" max="6402" width="17" style="1" customWidth="1"/>
    <col min="6403" max="6403" width="9" style="1" customWidth="1"/>
    <col min="6404" max="6404" width="10.28515625" style="1" customWidth="1"/>
    <col min="6405" max="6405" width="8" style="1" customWidth="1"/>
    <col min="6406" max="6407" width="9.7109375" style="1" customWidth="1"/>
    <col min="6408" max="6408" width="9.42578125" style="1" customWidth="1"/>
    <col min="6409" max="6409" width="10.7109375" style="1" customWidth="1"/>
    <col min="6410" max="6410" width="9.42578125" style="1" customWidth="1"/>
    <col min="6411" max="6411" width="9.28515625" style="1" customWidth="1"/>
    <col min="6412" max="6412" width="9.7109375" style="1" customWidth="1"/>
    <col min="6413" max="6656" width="11.42578125" style="1"/>
    <col min="6657" max="6657" width="6.140625" style="1" customWidth="1"/>
    <col min="6658" max="6658" width="17" style="1" customWidth="1"/>
    <col min="6659" max="6659" width="9" style="1" customWidth="1"/>
    <col min="6660" max="6660" width="10.28515625" style="1" customWidth="1"/>
    <col min="6661" max="6661" width="8" style="1" customWidth="1"/>
    <col min="6662" max="6663" width="9.7109375" style="1" customWidth="1"/>
    <col min="6664" max="6664" width="9.42578125" style="1" customWidth="1"/>
    <col min="6665" max="6665" width="10.7109375" style="1" customWidth="1"/>
    <col min="6666" max="6666" width="9.42578125" style="1" customWidth="1"/>
    <col min="6667" max="6667" width="9.28515625" style="1" customWidth="1"/>
    <col min="6668" max="6668" width="9.7109375" style="1" customWidth="1"/>
    <col min="6669" max="6912" width="11.42578125" style="1"/>
    <col min="6913" max="6913" width="6.140625" style="1" customWidth="1"/>
    <col min="6914" max="6914" width="17" style="1" customWidth="1"/>
    <col min="6915" max="6915" width="9" style="1" customWidth="1"/>
    <col min="6916" max="6916" width="10.28515625" style="1" customWidth="1"/>
    <col min="6917" max="6917" width="8" style="1" customWidth="1"/>
    <col min="6918" max="6919" width="9.7109375" style="1" customWidth="1"/>
    <col min="6920" max="6920" width="9.42578125" style="1" customWidth="1"/>
    <col min="6921" max="6921" width="10.7109375" style="1" customWidth="1"/>
    <col min="6922" max="6922" width="9.42578125" style="1" customWidth="1"/>
    <col min="6923" max="6923" width="9.28515625" style="1" customWidth="1"/>
    <col min="6924" max="6924" width="9.7109375" style="1" customWidth="1"/>
    <col min="6925" max="7168" width="11.42578125" style="1"/>
    <col min="7169" max="7169" width="6.140625" style="1" customWidth="1"/>
    <col min="7170" max="7170" width="17" style="1" customWidth="1"/>
    <col min="7171" max="7171" width="9" style="1" customWidth="1"/>
    <col min="7172" max="7172" width="10.28515625" style="1" customWidth="1"/>
    <col min="7173" max="7173" width="8" style="1" customWidth="1"/>
    <col min="7174" max="7175" width="9.7109375" style="1" customWidth="1"/>
    <col min="7176" max="7176" width="9.42578125" style="1" customWidth="1"/>
    <col min="7177" max="7177" width="10.7109375" style="1" customWidth="1"/>
    <col min="7178" max="7178" width="9.42578125" style="1" customWidth="1"/>
    <col min="7179" max="7179" width="9.28515625" style="1" customWidth="1"/>
    <col min="7180" max="7180" width="9.7109375" style="1" customWidth="1"/>
    <col min="7181" max="7424" width="11.42578125" style="1"/>
    <col min="7425" max="7425" width="6.140625" style="1" customWidth="1"/>
    <col min="7426" max="7426" width="17" style="1" customWidth="1"/>
    <col min="7427" max="7427" width="9" style="1" customWidth="1"/>
    <col min="7428" max="7428" width="10.28515625" style="1" customWidth="1"/>
    <col min="7429" max="7429" width="8" style="1" customWidth="1"/>
    <col min="7430" max="7431" width="9.7109375" style="1" customWidth="1"/>
    <col min="7432" max="7432" width="9.42578125" style="1" customWidth="1"/>
    <col min="7433" max="7433" width="10.7109375" style="1" customWidth="1"/>
    <col min="7434" max="7434" width="9.42578125" style="1" customWidth="1"/>
    <col min="7435" max="7435" width="9.28515625" style="1" customWidth="1"/>
    <col min="7436" max="7436" width="9.7109375" style="1" customWidth="1"/>
    <col min="7437" max="7680" width="11.42578125" style="1"/>
    <col min="7681" max="7681" width="6.140625" style="1" customWidth="1"/>
    <col min="7682" max="7682" width="17" style="1" customWidth="1"/>
    <col min="7683" max="7683" width="9" style="1" customWidth="1"/>
    <col min="7684" max="7684" width="10.28515625" style="1" customWidth="1"/>
    <col min="7685" max="7685" width="8" style="1" customWidth="1"/>
    <col min="7686" max="7687" width="9.7109375" style="1" customWidth="1"/>
    <col min="7688" max="7688" width="9.42578125" style="1" customWidth="1"/>
    <col min="7689" max="7689" width="10.7109375" style="1" customWidth="1"/>
    <col min="7690" max="7690" width="9.42578125" style="1" customWidth="1"/>
    <col min="7691" max="7691" width="9.28515625" style="1" customWidth="1"/>
    <col min="7692" max="7692" width="9.7109375" style="1" customWidth="1"/>
    <col min="7693" max="7936" width="11.42578125" style="1"/>
    <col min="7937" max="7937" width="6.140625" style="1" customWidth="1"/>
    <col min="7938" max="7938" width="17" style="1" customWidth="1"/>
    <col min="7939" max="7939" width="9" style="1" customWidth="1"/>
    <col min="7940" max="7940" width="10.28515625" style="1" customWidth="1"/>
    <col min="7941" max="7941" width="8" style="1" customWidth="1"/>
    <col min="7942" max="7943" width="9.7109375" style="1" customWidth="1"/>
    <col min="7944" max="7944" width="9.42578125" style="1" customWidth="1"/>
    <col min="7945" max="7945" width="10.7109375" style="1" customWidth="1"/>
    <col min="7946" max="7946" width="9.42578125" style="1" customWidth="1"/>
    <col min="7947" max="7947" width="9.28515625" style="1" customWidth="1"/>
    <col min="7948" max="7948" width="9.7109375" style="1" customWidth="1"/>
    <col min="7949" max="8192" width="11.42578125" style="1"/>
    <col min="8193" max="8193" width="6.140625" style="1" customWidth="1"/>
    <col min="8194" max="8194" width="17" style="1" customWidth="1"/>
    <col min="8195" max="8195" width="9" style="1" customWidth="1"/>
    <col min="8196" max="8196" width="10.28515625" style="1" customWidth="1"/>
    <col min="8197" max="8197" width="8" style="1" customWidth="1"/>
    <col min="8198" max="8199" width="9.7109375" style="1" customWidth="1"/>
    <col min="8200" max="8200" width="9.42578125" style="1" customWidth="1"/>
    <col min="8201" max="8201" width="10.7109375" style="1" customWidth="1"/>
    <col min="8202" max="8202" width="9.42578125" style="1" customWidth="1"/>
    <col min="8203" max="8203" width="9.28515625" style="1" customWidth="1"/>
    <col min="8204" max="8204" width="9.7109375" style="1" customWidth="1"/>
    <col min="8205" max="8448" width="11.42578125" style="1"/>
    <col min="8449" max="8449" width="6.140625" style="1" customWidth="1"/>
    <col min="8450" max="8450" width="17" style="1" customWidth="1"/>
    <col min="8451" max="8451" width="9" style="1" customWidth="1"/>
    <col min="8452" max="8452" width="10.28515625" style="1" customWidth="1"/>
    <col min="8453" max="8453" width="8" style="1" customWidth="1"/>
    <col min="8454" max="8455" width="9.7109375" style="1" customWidth="1"/>
    <col min="8456" max="8456" width="9.42578125" style="1" customWidth="1"/>
    <col min="8457" max="8457" width="10.7109375" style="1" customWidth="1"/>
    <col min="8458" max="8458" width="9.42578125" style="1" customWidth="1"/>
    <col min="8459" max="8459" width="9.28515625" style="1" customWidth="1"/>
    <col min="8460" max="8460" width="9.7109375" style="1" customWidth="1"/>
    <col min="8461" max="8704" width="11.42578125" style="1"/>
    <col min="8705" max="8705" width="6.140625" style="1" customWidth="1"/>
    <col min="8706" max="8706" width="17" style="1" customWidth="1"/>
    <col min="8707" max="8707" width="9" style="1" customWidth="1"/>
    <col min="8708" max="8708" width="10.28515625" style="1" customWidth="1"/>
    <col min="8709" max="8709" width="8" style="1" customWidth="1"/>
    <col min="8710" max="8711" width="9.7109375" style="1" customWidth="1"/>
    <col min="8712" max="8712" width="9.42578125" style="1" customWidth="1"/>
    <col min="8713" max="8713" width="10.7109375" style="1" customWidth="1"/>
    <col min="8714" max="8714" width="9.42578125" style="1" customWidth="1"/>
    <col min="8715" max="8715" width="9.28515625" style="1" customWidth="1"/>
    <col min="8716" max="8716" width="9.7109375" style="1" customWidth="1"/>
    <col min="8717" max="8960" width="11.42578125" style="1"/>
    <col min="8961" max="8961" width="6.140625" style="1" customWidth="1"/>
    <col min="8962" max="8962" width="17" style="1" customWidth="1"/>
    <col min="8963" max="8963" width="9" style="1" customWidth="1"/>
    <col min="8964" max="8964" width="10.28515625" style="1" customWidth="1"/>
    <col min="8965" max="8965" width="8" style="1" customWidth="1"/>
    <col min="8966" max="8967" width="9.7109375" style="1" customWidth="1"/>
    <col min="8968" max="8968" width="9.42578125" style="1" customWidth="1"/>
    <col min="8969" max="8969" width="10.7109375" style="1" customWidth="1"/>
    <col min="8970" max="8970" width="9.42578125" style="1" customWidth="1"/>
    <col min="8971" max="8971" width="9.28515625" style="1" customWidth="1"/>
    <col min="8972" max="8972" width="9.7109375" style="1" customWidth="1"/>
    <col min="8973" max="9216" width="11.42578125" style="1"/>
    <col min="9217" max="9217" width="6.140625" style="1" customWidth="1"/>
    <col min="9218" max="9218" width="17" style="1" customWidth="1"/>
    <col min="9219" max="9219" width="9" style="1" customWidth="1"/>
    <col min="9220" max="9220" width="10.28515625" style="1" customWidth="1"/>
    <col min="9221" max="9221" width="8" style="1" customWidth="1"/>
    <col min="9222" max="9223" width="9.7109375" style="1" customWidth="1"/>
    <col min="9224" max="9224" width="9.42578125" style="1" customWidth="1"/>
    <col min="9225" max="9225" width="10.7109375" style="1" customWidth="1"/>
    <col min="9226" max="9226" width="9.42578125" style="1" customWidth="1"/>
    <col min="9227" max="9227" width="9.28515625" style="1" customWidth="1"/>
    <col min="9228" max="9228" width="9.7109375" style="1" customWidth="1"/>
    <col min="9229" max="9472" width="11.42578125" style="1"/>
    <col min="9473" max="9473" width="6.140625" style="1" customWidth="1"/>
    <col min="9474" max="9474" width="17" style="1" customWidth="1"/>
    <col min="9475" max="9475" width="9" style="1" customWidth="1"/>
    <col min="9476" max="9476" width="10.28515625" style="1" customWidth="1"/>
    <col min="9477" max="9477" width="8" style="1" customWidth="1"/>
    <col min="9478" max="9479" width="9.7109375" style="1" customWidth="1"/>
    <col min="9480" max="9480" width="9.42578125" style="1" customWidth="1"/>
    <col min="9481" max="9481" width="10.7109375" style="1" customWidth="1"/>
    <col min="9482" max="9482" width="9.42578125" style="1" customWidth="1"/>
    <col min="9483" max="9483" width="9.28515625" style="1" customWidth="1"/>
    <col min="9484" max="9484" width="9.7109375" style="1" customWidth="1"/>
    <col min="9485" max="9728" width="11.42578125" style="1"/>
    <col min="9729" max="9729" width="6.140625" style="1" customWidth="1"/>
    <col min="9730" max="9730" width="17" style="1" customWidth="1"/>
    <col min="9731" max="9731" width="9" style="1" customWidth="1"/>
    <col min="9732" max="9732" width="10.28515625" style="1" customWidth="1"/>
    <col min="9733" max="9733" width="8" style="1" customWidth="1"/>
    <col min="9734" max="9735" width="9.7109375" style="1" customWidth="1"/>
    <col min="9736" max="9736" width="9.42578125" style="1" customWidth="1"/>
    <col min="9737" max="9737" width="10.7109375" style="1" customWidth="1"/>
    <col min="9738" max="9738" width="9.42578125" style="1" customWidth="1"/>
    <col min="9739" max="9739" width="9.28515625" style="1" customWidth="1"/>
    <col min="9740" max="9740" width="9.7109375" style="1" customWidth="1"/>
    <col min="9741" max="9984" width="11.42578125" style="1"/>
    <col min="9985" max="9985" width="6.140625" style="1" customWidth="1"/>
    <col min="9986" max="9986" width="17" style="1" customWidth="1"/>
    <col min="9987" max="9987" width="9" style="1" customWidth="1"/>
    <col min="9988" max="9988" width="10.28515625" style="1" customWidth="1"/>
    <col min="9989" max="9989" width="8" style="1" customWidth="1"/>
    <col min="9990" max="9991" width="9.7109375" style="1" customWidth="1"/>
    <col min="9992" max="9992" width="9.42578125" style="1" customWidth="1"/>
    <col min="9993" max="9993" width="10.7109375" style="1" customWidth="1"/>
    <col min="9994" max="9994" width="9.42578125" style="1" customWidth="1"/>
    <col min="9995" max="9995" width="9.28515625" style="1" customWidth="1"/>
    <col min="9996" max="9996" width="9.7109375" style="1" customWidth="1"/>
    <col min="9997" max="10240" width="11.42578125" style="1"/>
    <col min="10241" max="10241" width="6.140625" style="1" customWidth="1"/>
    <col min="10242" max="10242" width="17" style="1" customWidth="1"/>
    <col min="10243" max="10243" width="9" style="1" customWidth="1"/>
    <col min="10244" max="10244" width="10.28515625" style="1" customWidth="1"/>
    <col min="10245" max="10245" width="8" style="1" customWidth="1"/>
    <col min="10246" max="10247" width="9.7109375" style="1" customWidth="1"/>
    <col min="10248" max="10248" width="9.42578125" style="1" customWidth="1"/>
    <col min="10249" max="10249" width="10.7109375" style="1" customWidth="1"/>
    <col min="10250" max="10250" width="9.42578125" style="1" customWidth="1"/>
    <col min="10251" max="10251" width="9.28515625" style="1" customWidth="1"/>
    <col min="10252" max="10252" width="9.7109375" style="1" customWidth="1"/>
    <col min="10253" max="10496" width="11.42578125" style="1"/>
    <col min="10497" max="10497" width="6.140625" style="1" customWidth="1"/>
    <col min="10498" max="10498" width="17" style="1" customWidth="1"/>
    <col min="10499" max="10499" width="9" style="1" customWidth="1"/>
    <col min="10500" max="10500" width="10.28515625" style="1" customWidth="1"/>
    <col min="10501" max="10501" width="8" style="1" customWidth="1"/>
    <col min="10502" max="10503" width="9.7109375" style="1" customWidth="1"/>
    <col min="10504" max="10504" width="9.42578125" style="1" customWidth="1"/>
    <col min="10505" max="10505" width="10.7109375" style="1" customWidth="1"/>
    <col min="10506" max="10506" width="9.42578125" style="1" customWidth="1"/>
    <col min="10507" max="10507" width="9.28515625" style="1" customWidth="1"/>
    <col min="10508" max="10508" width="9.7109375" style="1" customWidth="1"/>
    <col min="10509" max="10752" width="11.42578125" style="1"/>
    <col min="10753" max="10753" width="6.140625" style="1" customWidth="1"/>
    <col min="10754" max="10754" width="17" style="1" customWidth="1"/>
    <col min="10755" max="10755" width="9" style="1" customWidth="1"/>
    <col min="10756" max="10756" width="10.28515625" style="1" customWidth="1"/>
    <col min="10757" max="10757" width="8" style="1" customWidth="1"/>
    <col min="10758" max="10759" width="9.7109375" style="1" customWidth="1"/>
    <col min="10760" max="10760" width="9.42578125" style="1" customWidth="1"/>
    <col min="10761" max="10761" width="10.7109375" style="1" customWidth="1"/>
    <col min="10762" max="10762" width="9.42578125" style="1" customWidth="1"/>
    <col min="10763" max="10763" width="9.28515625" style="1" customWidth="1"/>
    <col min="10764" max="10764" width="9.7109375" style="1" customWidth="1"/>
    <col min="10765" max="11008" width="11.42578125" style="1"/>
    <col min="11009" max="11009" width="6.140625" style="1" customWidth="1"/>
    <col min="11010" max="11010" width="17" style="1" customWidth="1"/>
    <col min="11011" max="11011" width="9" style="1" customWidth="1"/>
    <col min="11012" max="11012" width="10.28515625" style="1" customWidth="1"/>
    <col min="11013" max="11013" width="8" style="1" customWidth="1"/>
    <col min="11014" max="11015" width="9.7109375" style="1" customWidth="1"/>
    <col min="11016" max="11016" width="9.42578125" style="1" customWidth="1"/>
    <col min="11017" max="11017" width="10.7109375" style="1" customWidth="1"/>
    <col min="11018" max="11018" width="9.42578125" style="1" customWidth="1"/>
    <col min="11019" max="11019" width="9.28515625" style="1" customWidth="1"/>
    <col min="11020" max="11020" width="9.7109375" style="1" customWidth="1"/>
    <col min="11021" max="11264" width="11.42578125" style="1"/>
    <col min="11265" max="11265" width="6.140625" style="1" customWidth="1"/>
    <col min="11266" max="11266" width="17" style="1" customWidth="1"/>
    <col min="11267" max="11267" width="9" style="1" customWidth="1"/>
    <col min="11268" max="11268" width="10.28515625" style="1" customWidth="1"/>
    <col min="11269" max="11269" width="8" style="1" customWidth="1"/>
    <col min="11270" max="11271" width="9.7109375" style="1" customWidth="1"/>
    <col min="11272" max="11272" width="9.42578125" style="1" customWidth="1"/>
    <col min="11273" max="11273" width="10.7109375" style="1" customWidth="1"/>
    <col min="11274" max="11274" width="9.42578125" style="1" customWidth="1"/>
    <col min="11275" max="11275" width="9.28515625" style="1" customWidth="1"/>
    <col min="11276" max="11276" width="9.7109375" style="1" customWidth="1"/>
    <col min="11277" max="11520" width="11.42578125" style="1"/>
    <col min="11521" max="11521" width="6.140625" style="1" customWidth="1"/>
    <col min="11522" max="11522" width="17" style="1" customWidth="1"/>
    <col min="11523" max="11523" width="9" style="1" customWidth="1"/>
    <col min="11524" max="11524" width="10.28515625" style="1" customWidth="1"/>
    <col min="11525" max="11525" width="8" style="1" customWidth="1"/>
    <col min="11526" max="11527" width="9.7109375" style="1" customWidth="1"/>
    <col min="11528" max="11528" width="9.42578125" style="1" customWidth="1"/>
    <col min="11529" max="11529" width="10.7109375" style="1" customWidth="1"/>
    <col min="11530" max="11530" width="9.42578125" style="1" customWidth="1"/>
    <col min="11531" max="11531" width="9.28515625" style="1" customWidth="1"/>
    <col min="11532" max="11532" width="9.7109375" style="1" customWidth="1"/>
    <col min="11533" max="11776" width="11.42578125" style="1"/>
    <col min="11777" max="11777" width="6.140625" style="1" customWidth="1"/>
    <col min="11778" max="11778" width="17" style="1" customWidth="1"/>
    <col min="11779" max="11779" width="9" style="1" customWidth="1"/>
    <col min="11780" max="11780" width="10.28515625" style="1" customWidth="1"/>
    <col min="11781" max="11781" width="8" style="1" customWidth="1"/>
    <col min="11782" max="11783" width="9.7109375" style="1" customWidth="1"/>
    <col min="11784" max="11784" width="9.42578125" style="1" customWidth="1"/>
    <col min="11785" max="11785" width="10.7109375" style="1" customWidth="1"/>
    <col min="11786" max="11786" width="9.42578125" style="1" customWidth="1"/>
    <col min="11787" max="11787" width="9.28515625" style="1" customWidth="1"/>
    <col min="11788" max="11788" width="9.7109375" style="1" customWidth="1"/>
    <col min="11789" max="12032" width="11.42578125" style="1"/>
    <col min="12033" max="12033" width="6.140625" style="1" customWidth="1"/>
    <col min="12034" max="12034" width="17" style="1" customWidth="1"/>
    <col min="12035" max="12035" width="9" style="1" customWidth="1"/>
    <col min="12036" max="12036" width="10.28515625" style="1" customWidth="1"/>
    <col min="12037" max="12037" width="8" style="1" customWidth="1"/>
    <col min="12038" max="12039" width="9.7109375" style="1" customWidth="1"/>
    <col min="12040" max="12040" width="9.42578125" style="1" customWidth="1"/>
    <col min="12041" max="12041" width="10.7109375" style="1" customWidth="1"/>
    <col min="12042" max="12042" width="9.42578125" style="1" customWidth="1"/>
    <col min="12043" max="12043" width="9.28515625" style="1" customWidth="1"/>
    <col min="12044" max="12044" width="9.7109375" style="1" customWidth="1"/>
    <col min="12045" max="12288" width="11.42578125" style="1"/>
    <col min="12289" max="12289" width="6.140625" style="1" customWidth="1"/>
    <col min="12290" max="12290" width="17" style="1" customWidth="1"/>
    <col min="12291" max="12291" width="9" style="1" customWidth="1"/>
    <col min="12292" max="12292" width="10.28515625" style="1" customWidth="1"/>
    <col min="12293" max="12293" width="8" style="1" customWidth="1"/>
    <col min="12294" max="12295" width="9.7109375" style="1" customWidth="1"/>
    <col min="12296" max="12296" width="9.42578125" style="1" customWidth="1"/>
    <col min="12297" max="12297" width="10.7109375" style="1" customWidth="1"/>
    <col min="12298" max="12298" width="9.42578125" style="1" customWidth="1"/>
    <col min="12299" max="12299" width="9.28515625" style="1" customWidth="1"/>
    <col min="12300" max="12300" width="9.7109375" style="1" customWidth="1"/>
    <col min="12301" max="12544" width="11.42578125" style="1"/>
    <col min="12545" max="12545" width="6.140625" style="1" customWidth="1"/>
    <col min="12546" max="12546" width="17" style="1" customWidth="1"/>
    <col min="12547" max="12547" width="9" style="1" customWidth="1"/>
    <col min="12548" max="12548" width="10.28515625" style="1" customWidth="1"/>
    <col min="12549" max="12549" width="8" style="1" customWidth="1"/>
    <col min="12550" max="12551" width="9.7109375" style="1" customWidth="1"/>
    <col min="12552" max="12552" width="9.42578125" style="1" customWidth="1"/>
    <col min="12553" max="12553" width="10.7109375" style="1" customWidth="1"/>
    <col min="12554" max="12554" width="9.42578125" style="1" customWidth="1"/>
    <col min="12555" max="12555" width="9.28515625" style="1" customWidth="1"/>
    <col min="12556" max="12556" width="9.7109375" style="1" customWidth="1"/>
    <col min="12557" max="12800" width="11.42578125" style="1"/>
    <col min="12801" max="12801" width="6.140625" style="1" customWidth="1"/>
    <col min="12802" max="12802" width="17" style="1" customWidth="1"/>
    <col min="12803" max="12803" width="9" style="1" customWidth="1"/>
    <col min="12804" max="12804" width="10.28515625" style="1" customWidth="1"/>
    <col min="12805" max="12805" width="8" style="1" customWidth="1"/>
    <col min="12806" max="12807" width="9.7109375" style="1" customWidth="1"/>
    <col min="12808" max="12808" width="9.42578125" style="1" customWidth="1"/>
    <col min="12809" max="12809" width="10.7109375" style="1" customWidth="1"/>
    <col min="12810" max="12810" width="9.42578125" style="1" customWidth="1"/>
    <col min="12811" max="12811" width="9.28515625" style="1" customWidth="1"/>
    <col min="12812" max="12812" width="9.7109375" style="1" customWidth="1"/>
    <col min="12813" max="13056" width="11.42578125" style="1"/>
    <col min="13057" max="13057" width="6.140625" style="1" customWidth="1"/>
    <col min="13058" max="13058" width="17" style="1" customWidth="1"/>
    <col min="13059" max="13059" width="9" style="1" customWidth="1"/>
    <col min="13060" max="13060" width="10.28515625" style="1" customWidth="1"/>
    <col min="13061" max="13061" width="8" style="1" customWidth="1"/>
    <col min="13062" max="13063" width="9.7109375" style="1" customWidth="1"/>
    <col min="13064" max="13064" width="9.42578125" style="1" customWidth="1"/>
    <col min="13065" max="13065" width="10.7109375" style="1" customWidth="1"/>
    <col min="13066" max="13066" width="9.42578125" style="1" customWidth="1"/>
    <col min="13067" max="13067" width="9.28515625" style="1" customWidth="1"/>
    <col min="13068" max="13068" width="9.7109375" style="1" customWidth="1"/>
    <col min="13069" max="13312" width="11.42578125" style="1"/>
    <col min="13313" max="13313" width="6.140625" style="1" customWidth="1"/>
    <col min="13314" max="13314" width="17" style="1" customWidth="1"/>
    <col min="13315" max="13315" width="9" style="1" customWidth="1"/>
    <col min="13316" max="13316" width="10.28515625" style="1" customWidth="1"/>
    <col min="13317" max="13317" width="8" style="1" customWidth="1"/>
    <col min="13318" max="13319" width="9.7109375" style="1" customWidth="1"/>
    <col min="13320" max="13320" width="9.42578125" style="1" customWidth="1"/>
    <col min="13321" max="13321" width="10.7109375" style="1" customWidth="1"/>
    <col min="13322" max="13322" width="9.42578125" style="1" customWidth="1"/>
    <col min="13323" max="13323" width="9.28515625" style="1" customWidth="1"/>
    <col min="13324" max="13324" width="9.7109375" style="1" customWidth="1"/>
    <col min="13325" max="13568" width="11.42578125" style="1"/>
    <col min="13569" max="13569" width="6.140625" style="1" customWidth="1"/>
    <col min="13570" max="13570" width="17" style="1" customWidth="1"/>
    <col min="13571" max="13571" width="9" style="1" customWidth="1"/>
    <col min="13572" max="13572" width="10.28515625" style="1" customWidth="1"/>
    <col min="13573" max="13573" width="8" style="1" customWidth="1"/>
    <col min="13574" max="13575" width="9.7109375" style="1" customWidth="1"/>
    <col min="13576" max="13576" width="9.42578125" style="1" customWidth="1"/>
    <col min="13577" max="13577" width="10.7109375" style="1" customWidth="1"/>
    <col min="13578" max="13578" width="9.42578125" style="1" customWidth="1"/>
    <col min="13579" max="13579" width="9.28515625" style="1" customWidth="1"/>
    <col min="13580" max="13580" width="9.7109375" style="1" customWidth="1"/>
    <col min="13581" max="13824" width="11.42578125" style="1"/>
    <col min="13825" max="13825" width="6.140625" style="1" customWidth="1"/>
    <col min="13826" max="13826" width="17" style="1" customWidth="1"/>
    <col min="13827" max="13827" width="9" style="1" customWidth="1"/>
    <col min="13828" max="13828" width="10.28515625" style="1" customWidth="1"/>
    <col min="13829" max="13829" width="8" style="1" customWidth="1"/>
    <col min="13830" max="13831" width="9.7109375" style="1" customWidth="1"/>
    <col min="13832" max="13832" width="9.42578125" style="1" customWidth="1"/>
    <col min="13833" max="13833" width="10.7109375" style="1" customWidth="1"/>
    <col min="13834" max="13834" width="9.42578125" style="1" customWidth="1"/>
    <col min="13835" max="13835" width="9.28515625" style="1" customWidth="1"/>
    <col min="13836" max="13836" width="9.7109375" style="1" customWidth="1"/>
    <col min="13837" max="14080" width="11.42578125" style="1"/>
    <col min="14081" max="14081" width="6.140625" style="1" customWidth="1"/>
    <col min="14082" max="14082" width="17" style="1" customWidth="1"/>
    <col min="14083" max="14083" width="9" style="1" customWidth="1"/>
    <col min="14084" max="14084" width="10.28515625" style="1" customWidth="1"/>
    <col min="14085" max="14085" width="8" style="1" customWidth="1"/>
    <col min="14086" max="14087" width="9.7109375" style="1" customWidth="1"/>
    <col min="14088" max="14088" width="9.42578125" style="1" customWidth="1"/>
    <col min="14089" max="14089" width="10.7109375" style="1" customWidth="1"/>
    <col min="14090" max="14090" width="9.42578125" style="1" customWidth="1"/>
    <col min="14091" max="14091" width="9.28515625" style="1" customWidth="1"/>
    <col min="14092" max="14092" width="9.7109375" style="1" customWidth="1"/>
    <col min="14093" max="14336" width="11.42578125" style="1"/>
    <col min="14337" max="14337" width="6.140625" style="1" customWidth="1"/>
    <col min="14338" max="14338" width="17" style="1" customWidth="1"/>
    <col min="14339" max="14339" width="9" style="1" customWidth="1"/>
    <col min="14340" max="14340" width="10.28515625" style="1" customWidth="1"/>
    <col min="14341" max="14341" width="8" style="1" customWidth="1"/>
    <col min="14342" max="14343" width="9.7109375" style="1" customWidth="1"/>
    <col min="14344" max="14344" width="9.42578125" style="1" customWidth="1"/>
    <col min="14345" max="14345" width="10.7109375" style="1" customWidth="1"/>
    <col min="14346" max="14346" width="9.42578125" style="1" customWidth="1"/>
    <col min="14347" max="14347" width="9.28515625" style="1" customWidth="1"/>
    <col min="14348" max="14348" width="9.7109375" style="1" customWidth="1"/>
    <col min="14349" max="14592" width="11.42578125" style="1"/>
    <col min="14593" max="14593" width="6.140625" style="1" customWidth="1"/>
    <col min="14594" max="14594" width="17" style="1" customWidth="1"/>
    <col min="14595" max="14595" width="9" style="1" customWidth="1"/>
    <col min="14596" max="14596" width="10.28515625" style="1" customWidth="1"/>
    <col min="14597" max="14597" width="8" style="1" customWidth="1"/>
    <col min="14598" max="14599" width="9.7109375" style="1" customWidth="1"/>
    <col min="14600" max="14600" width="9.42578125" style="1" customWidth="1"/>
    <col min="14601" max="14601" width="10.7109375" style="1" customWidth="1"/>
    <col min="14602" max="14602" width="9.42578125" style="1" customWidth="1"/>
    <col min="14603" max="14603" width="9.28515625" style="1" customWidth="1"/>
    <col min="14604" max="14604" width="9.7109375" style="1" customWidth="1"/>
    <col min="14605" max="14848" width="11.42578125" style="1"/>
    <col min="14849" max="14849" width="6.140625" style="1" customWidth="1"/>
    <col min="14850" max="14850" width="17" style="1" customWidth="1"/>
    <col min="14851" max="14851" width="9" style="1" customWidth="1"/>
    <col min="14852" max="14852" width="10.28515625" style="1" customWidth="1"/>
    <col min="14853" max="14853" width="8" style="1" customWidth="1"/>
    <col min="14854" max="14855" width="9.7109375" style="1" customWidth="1"/>
    <col min="14856" max="14856" width="9.42578125" style="1" customWidth="1"/>
    <col min="14857" max="14857" width="10.7109375" style="1" customWidth="1"/>
    <col min="14858" max="14858" width="9.42578125" style="1" customWidth="1"/>
    <col min="14859" max="14859" width="9.28515625" style="1" customWidth="1"/>
    <col min="14860" max="14860" width="9.7109375" style="1" customWidth="1"/>
    <col min="14861" max="15104" width="11.42578125" style="1"/>
    <col min="15105" max="15105" width="6.140625" style="1" customWidth="1"/>
    <col min="15106" max="15106" width="17" style="1" customWidth="1"/>
    <col min="15107" max="15107" width="9" style="1" customWidth="1"/>
    <col min="15108" max="15108" width="10.28515625" style="1" customWidth="1"/>
    <col min="15109" max="15109" width="8" style="1" customWidth="1"/>
    <col min="15110" max="15111" width="9.7109375" style="1" customWidth="1"/>
    <col min="15112" max="15112" width="9.42578125" style="1" customWidth="1"/>
    <col min="15113" max="15113" width="10.7109375" style="1" customWidth="1"/>
    <col min="15114" max="15114" width="9.42578125" style="1" customWidth="1"/>
    <col min="15115" max="15115" width="9.28515625" style="1" customWidth="1"/>
    <col min="15116" max="15116" width="9.7109375" style="1" customWidth="1"/>
    <col min="15117" max="15360" width="11.42578125" style="1"/>
    <col min="15361" max="15361" width="6.140625" style="1" customWidth="1"/>
    <col min="15362" max="15362" width="17" style="1" customWidth="1"/>
    <col min="15363" max="15363" width="9" style="1" customWidth="1"/>
    <col min="15364" max="15364" width="10.28515625" style="1" customWidth="1"/>
    <col min="15365" max="15365" width="8" style="1" customWidth="1"/>
    <col min="15366" max="15367" width="9.7109375" style="1" customWidth="1"/>
    <col min="15368" max="15368" width="9.42578125" style="1" customWidth="1"/>
    <col min="15369" max="15369" width="10.7109375" style="1" customWidth="1"/>
    <col min="15370" max="15370" width="9.42578125" style="1" customWidth="1"/>
    <col min="15371" max="15371" width="9.28515625" style="1" customWidth="1"/>
    <col min="15372" max="15372" width="9.7109375" style="1" customWidth="1"/>
    <col min="15373" max="15616" width="11.42578125" style="1"/>
    <col min="15617" max="15617" width="6.140625" style="1" customWidth="1"/>
    <col min="15618" max="15618" width="17" style="1" customWidth="1"/>
    <col min="15619" max="15619" width="9" style="1" customWidth="1"/>
    <col min="15620" max="15620" width="10.28515625" style="1" customWidth="1"/>
    <col min="15621" max="15621" width="8" style="1" customWidth="1"/>
    <col min="15622" max="15623" width="9.7109375" style="1" customWidth="1"/>
    <col min="15624" max="15624" width="9.42578125" style="1" customWidth="1"/>
    <col min="15625" max="15625" width="10.7109375" style="1" customWidth="1"/>
    <col min="15626" max="15626" width="9.42578125" style="1" customWidth="1"/>
    <col min="15627" max="15627" width="9.28515625" style="1" customWidth="1"/>
    <col min="15628" max="15628" width="9.7109375" style="1" customWidth="1"/>
    <col min="15629" max="15872" width="11.42578125" style="1"/>
    <col min="15873" max="15873" width="6.140625" style="1" customWidth="1"/>
    <col min="15874" max="15874" width="17" style="1" customWidth="1"/>
    <col min="15875" max="15875" width="9" style="1" customWidth="1"/>
    <col min="15876" max="15876" width="10.28515625" style="1" customWidth="1"/>
    <col min="15877" max="15877" width="8" style="1" customWidth="1"/>
    <col min="15878" max="15879" width="9.7109375" style="1" customWidth="1"/>
    <col min="15880" max="15880" width="9.42578125" style="1" customWidth="1"/>
    <col min="15881" max="15881" width="10.7109375" style="1" customWidth="1"/>
    <col min="15882" max="15882" width="9.42578125" style="1" customWidth="1"/>
    <col min="15883" max="15883" width="9.28515625" style="1" customWidth="1"/>
    <col min="15884" max="15884" width="9.7109375" style="1" customWidth="1"/>
    <col min="15885" max="16128" width="11.42578125" style="1"/>
    <col min="16129" max="16129" width="6.140625" style="1" customWidth="1"/>
    <col min="16130" max="16130" width="17" style="1" customWidth="1"/>
    <col min="16131" max="16131" width="9" style="1" customWidth="1"/>
    <col min="16132" max="16132" width="10.28515625" style="1" customWidth="1"/>
    <col min="16133" max="16133" width="8" style="1" customWidth="1"/>
    <col min="16134" max="16135" width="9.7109375" style="1" customWidth="1"/>
    <col min="16136" max="16136" width="9.42578125" style="1" customWidth="1"/>
    <col min="16137" max="16137" width="10.7109375" style="1" customWidth="1"/>
    <col min="16138" max="16138" width="9.42578125" style="1" customWidth="1"/>
    <col min="16139" max="16139" width="9.28515625" style="1" customWidth="1"/>
    <col min="16140" max="16140" width="9.7109375" style="1" customWidth="1"/>
    <col min="16141" max="16384" width="11.42578125" style="1"/>
  </cols>
  <sheetData>
    <row r="1" spans="1:13" ht="15" x14ac:dyDescent="0.2">
      <c r="A1" s="85"/>
      <c r="B1" s="86" t="s">
        <v>43</v>
      </c>
      <c r="C1" s="87"/>
      <c r="D1" s="87"/>
      <c r="E1" s="87"/>
      <c r="F1" s="87"/>
      <c r="G1" s="87"/>
      <c r="H1" s="87"/>
      <c r="I1" s="87"/>
      <c r="J1" s="87"/>
      <c r="K1" s="87"/>
      <c r="L1" s="87"/>
    </row>
    <row r="2" spans="1:13" x14ac:dyDescent="0.2">
      <c r="A2" s="85"/>
      <c r="B2" s="88"/>
      <c r="C2" s="89" t="s">
        <v>44</v>
      </c>
      <c r="D2" s="90"/>
      <c r="E2" s="90" t="s">
        <v>45</v>
      </c>
      <c r="F2" s="91"/>
      <c r="G2" s="92" t="s">
        <v>46</v>
      </c>
      <c r="H2" s="92"/>
      <c r="I2" s="92"/>
      <c r="J2" s="92"/>
      <c r="K2" s="93"/>
      <c r="L2" s="94"/>
      <c r="M2" s="95"/>
    </row>
    <row r="3" spans="1:13" x14ac:dyDescent="0.2">
      <c r="A3" s="85"/>
      <c r="B3" s="88" t="s">
        <v>47</v>
      </c>
      <c r="C3" s="90" t="s">
        <v>48</v>
      </c>
      <c r="D3" s="96" t="s">
        <v>49</v>
      </c>
      <c r="E3" s="90" t="s">
        <v>50</v>
      </c>
      <c r="F3" s="97" t="s">
        <v>51</v>
      </c>
      <c r="G3" s="90" t="s">
        <v>52</v>
      </c>
      <c r="H3" s="90" t="s">
        <v>24</v>
      </c>
      <c r="I3" s="90" t="s">
        <v>52</v>
      </c>
      <c r="J3" s="90" t="s">
        <v>53</v>
      </c>
      <c r="K3" s="90" t="s">
        <v>52</v>
      </c>
      <c r="L3" s="96" t="s">
        <v>54</v>
      </c>
      <c r="M3" s="95"/>
    </row>
    <row r="4" spans="1:13" x14ac:dyDescent="0.2">
      <c r="A4" s="85"/>
      <c r="B4" s="98"/>
      <c r="C4" s="99" t="s">
        <v>55</v>
      </c>
      <c r="D4" s="100"/>
      <c r="E4" s="99" t="s">
        <v>56</v>
      </c>
      <c r="F4" s="99" t="s">
        <v>57</v>
      </c>
      <c r="G4" s="99" t="s">
        <v>50</v>
      </c>
      <c r="H4" s="99" t="s">
        <v>58</v>
      </c>
      <c r="I4" s="99" t="s">
        <v>50</v>
      </c>
      <c r="J4" s="99" t="s">
        <v>58</v>
      </c>
      <c r="K4" s="99" t="s">
        <v>50</v>
      </c>
      <c r="L4" s="101"/>
      <c r="M4" s="95"/>
    </row>
    <row r="5" spans="1:13" x14ac:dyDescent="0.2">
      <c r="A5" s="85"/>
      <c r="B5" s="102" t="s">
        <v>59</v>
      </c>
      <c r="C5" s="103"/>
      <c r="D5" s="103"/>
      <c r="E5" s="103"/>
      <c r="F5" s="103"/>
      <c r="G5" s="104"/>
      <c r="H5" s="103"/>
      <c r="I5" s="104"/>
      <c r="J5" s="103"/>
      <c r="K5" s="104"/>
      <c r="L5" s="105"/>
      <c r="M5" s="95"/>
    </row>
    <row r="6" spans="1:13" x14ac:dyDescent="0.2">
      <c r="A6" s="85"/>
      <c r="B6" s="106" t="s">
        <v>60</v>
      </c>
      <c r="C6" s="107"/>
      <c r="D6" s="107"/>
      <c r="E6" s="107"/>
      <c r="F6" s="107"/>
      <c r="G6" s="108"/>
      <c r="H6" s="107"/>
      <c r="I6" s="108"/>
      <c r="J6" s="107"/>
      <c r="K6" s="108"/>
      <c r="L6" s="109"/>
      <c r="M6" s="95"/>
    </row>
    <row r="7" spans="1:13" x14ac:dyDescent="0.2">
      <c r="A7" s="85"/>
      <c r="B7" s="110" t="s">
        <v>61</v>
      </c>
      <c r="C7" s="111"/>
      <c r="D7" s="112">
        <v>12.6</v>
      </c>
      <c r="E7" s="113">
        <f>C7*D7</f>
        <v>0</v>
      </c>
      <c r="F7" s="112">
        <v>0.14280000000000001</v>
      </c>
      <c r="G7" s="113">
        <f>C7*F7</f>
        <v>0</v>
      </c>
      <c r="H7" s="112">
        <v>1.9400000000000001E-2</v>
      </c>
      <c r="I7" s="113">
        <f>C7*H7</f>
        <v>0</v>
      </c>
      <c r="J7" s="114">
        <v>9.5999999999999992E-3</v>
      </c>
      <c r="K7" s="113">
        <f>C7*J7</f>
        <v>0</v>
      </c>
      <c r="L7" s="115" t="s">
        <v>62</v>
      </c>
      <c r="M7" s="95"/>
    </row>
    <row r="8" spans="1:13" x14ac:dyDescent="0.2">
      <c r="A8" s="85"/>
      <c r="B8" s="110" t="s">
        <v>63</v>
      </c>
      <c r="C8" s="111"/>
      <c r="D8" s="112">
        <v>12.6</v>
      </c>
      <c r="E8" s="113">
        <f>C8*D8</f>
        <v>0</v>
      </c>
      <c r="F8" s="112">
        <v>0.1071</v>
      </c>
      <c r="G8" s="113">
        <f>C8*F8</f>
        <v>0</v>
      </c>
      <c r="H8" s="112">
        <v>1.46E-2</v>
      </c>
      <c r="I8" s="113">
        <f>C8*H8</f>
        <v>0</v>
      </c>
      <c r="J8" s="114">
        <v>7.4000000000000003E-3</v>
      </c>
      <c r="K8" s="113">
        <f>C8*J8</f>
        <v>0</v>
      </c>
      <c r="L8" s="112" t="s">
        <v>62</v>
      </c>
      <c r="M8" s="95"/>
    </row>
    <row r="9" spans="1:13" x14ac:dyDescent="0.2">
      <c r="A9" s="85"/>
      <c r="B9" s="110" t="s">
        <v>64</v>
      </c>
      <c r="C9" s="111">
        <v>43</v>
      </c>
      <c r="D9" s="112">
        <v>12.6</v>
      </c>
      <c r="E9" s="113">
        <f>C9*D9</f>
        <v>541.79999999999995</v>
      </c>
      <c r="F9" s="112">
        <v>0.12740000000000001</v>
      </c>
      <c r="G9" s="113">
        <f>C9*F9</f>
        <v>5.4782000000000002</v>
      </c>
      <c r="H9" s="112">
        <v>1.2800000000000001E-2</v>
      </c>
      <c r="I9" s="113">
        <f>C9*H9</f>
        <v>0.5504</v>
      </c>
      <c r="J9" s="114"/>
      <c r="K9" s="113">
        <f>C9*J9</f>
        <v>0</v>
      </c>
      <c r="L9" s="116">
        <v>1.3</v>
      </c>
      <c r="M9" s="95"/>
    </row>
    <row r="10" spans="1:13" x14ac:dyDescent="0.2">
      <c r="A10" s="85"/>
      <c r="B10" s="117" t="s">
        <v>65</v>
      </c>
      <c r="C10" s="118"/>
      <c r="D10" s="119"/>
      <c r="E10" s="119"/>
      <c r="F10" s="119"/>
      <c r="G10" s="120"/>
      <c r="H10" s="119"/>
      <c r="I10" s="120"/>
      <c r="J10" s="121"/>
      <c r="K10" s="120"/>
      <c r="L10" s="122"/>
      <c r="M10" s="95"/>
    </row>
    <row r="11" spans="1:13" x14ac:dyDescent="0.2">
      <c r="A11" s="85"/>
      <c r="B11" s="106" t="s">
        <v>66</v>
      </c>
      <c r="C11" s="123"/>
      <c r="D11" s="124"/>
      <c r="E11" s="124"/>
      <c r="F11" s="124"/>
      <c r="G11" s="125"/>
      <c r="H11" s="124"/>
      <c r="I11" s="125"/>
      <c r="J11" s="126"/>
      <c r="K11" s="125"/>
      <c r="L11" s="127"/>
      <c r="M11" s="95"/>
    </row>
    <row r="12" spans="1:13" x14ac:dyDescent="0.2">
      <c r="A12" s="85"/>
      <c r="B12" s="128" t="s">
        <v>67</v>
      </c>
      <c r="C12" s="111"/>
      <c r="D12" s="112">
        <v>105</v>
      </c>
      <c r="E12" s="113">
        <f>C12*D12</f>
        <v>0</v>
      </c>
      <c r="F12" s="112">
        <v>0.46800000000000003</v>
      </c>
      <c r="G12" s="113">
        <f>C12*F12</f>
        <v>0</v>
      </c>
      <c r="H12" s="112">
        <v>7.9000000000000001E-2</v>
      </c>
      <c r="I12" s="113">
        <f>C12*H12</f>
        <v>0</v>
      </c>
      <c r="J12" s="114">
        <v>4.7E-2</v>
      </c>
      <c r="K12" s="113">
        <f>C12*J12</f>
        <v>0</v>
      </c>
      <c r="L12" s="112" t="s">
        <v>68</v>
      </c>
      <c r="M12" s="95"/>
    </row>
    <row r="13" spans="1:13" x14ac:dyDescent="0.2">
      <c r="A13" s="85"/>
      <c r="B13" s="128" t="s">
        <v>63</v>
      </c>
      <c r="C13" s="111"/>
      <c r="D13" s="112">
        <v>53</v>
      </c>
      <c r="E13" s="113">
        <f>C13*D13</f>
        <v>0</v>
      </c>
      <c r="F13" s="112">
        <v>0.1845</v>
      </c>
      <c r="G13" s="113">
        <f>C13*F13</f>
        <v>0</v>
      </c>
      <c r="H13" s="112">
        <v>2.5100000000000001E-2</v>
      </c>
      <c r="I13" s="113">
        <f>C13*H13</f>
        <v>0</v>
      </c>
      <c r="J13" s="114">
        <v>1.2699999999999999E-2</v>
      </c>
      <c r="K13" s="113">
        <f>C13*J13</f>
        <v>0</v>
      </c>
      <c r="L13" s="112" t="s">
        <v>62</v>
      </c>
      <c r="M13" s="95"/>
    </row>
    <row r="14" spans="1:13" x14ac:dyDescent="0.2">
      <c r="A14" s="85"/>
      <c r="B14" s="128" t="s">
        <v>64</v>
      </c>
      <c r="C14" s="111"/>
      <c r="D14" s="112">
        <v>32</v>
      </c>
      <c r="E14" s="113">
        <f>C14*D14</f>
        <v>0</v>
      </c>
      <c r="F14" s="112">
        <v>0.12740000000000001</v>
      </c>
      <c r="G14" s="113">
        <f>C14*F14</f>
        <v>0</v>
      </c>
      <c r="H14" s="112">
        <v>1.2800000000000001E-2</v>
      </c>
      <c r="I14" s="113">
        <f>C14*H14</f>
        <v>0</v>
      </c>
      <c r="J14" s="114"/>
      <c r="K14" s="113">
        <f>C14*J14</f>
        <v>0</v>
      </c>
      <c r="L14" s="112"/>
      <c r="M14" s="95"/>
    </row>
    <row r="15" spans="1:13" x14ac:dyDescent="0.2">
      <c r="A15" s="85"/>
      <c r="B15" s="129" t="s">
        <v>69</v>
      </c>
      <c r="C15" s="130"/>
      <c r="D15" s="131"/>
      <c r="E15" s="132">
        <f>SUM(E12:E14)</f>
        <v>0</v>
      </c>
      <c r="F15" s="131"/>
      <c r="G15" s="133"/>
      <c r="H15" s="131"/>
      <c r="I15" s="133"/>
      <c r="J15" s="134"/>
      <c r="K15" s="133"/>
      <c r="L15" s="135"/>
      <c r="M15" s="95"/>
    </row>
    <row r="16" spans="1:13" x14ac:dyDescent="0.2">
      <c r="A16" s="85"/>
      <c r="B16" s="117" t="s">
        <v>70</v>
      </c>
      <c r="C16" s="118"/>
      <c r="D16" s="119"/>
      <c r="E16" s="119"/>
      <c r="F16" s="119"/>
      <c r="G16" s="120"/>
      <c r="H16" s="119"/>
      <c r="I16" s="120"/>
      <c r="J16" s="121"/>
      <c r="K16" s="120"/>
      <c r="L16" s="122"/>
      <c r="M16" s="95"/>
    </row>
    <row r="17" spans="1:13" x14ac:dyDescent="0.2">
      <c r="A17" s="85"/>
      <c r="B17" s="106" t="s">
        <v>71</v>
      </c>
      <c r="C17" s="123"/>
      <c r="D17" s="124"/>
      <c r="E17" s="136" t="s">
        <v>58</v>
      </c>
      <c r="F17" s="124"/>
      <c r="G17" s="125"/>
      <c r="H17" s="124"/>
      <c r="I17" s="125"/>
      <c r="J17" s="126"/>
      <c r="K17" s="137"/>
      <c r="L17" s="127"/>
      <c r="M17" s="95"/>
    </row>
    <row r="18" spans="1:13" x14ac:dyDescent="0.2">
      <c r="A18" s="85"/>
      <c r="B18" s="138" t="s">
        <v>72</v>
      </c>
      <c r="C18" s="139"/>
      <c r="D18" s="140">
        <v>0.6</v>
      </c>
      <c r="E18" s="141">
        <f>C18*D18</f>
        <v>0</v>
      </c>
      <c r="F18" s="140">
        <v>1.2744</v>
      </c>
      <c r="G18" s="141">
        <f>C18*F18</f>
        <v>0</v>
      </c>
      <c r="H18" s="140">
        <v>0.12839999999999999</v>
      </c>
      <c r="I18" s="141">
        <f>C18*H18</f>
        <v>0</v>
      </c>
      <c r="J18" s="121"/>
      <c r="K18" s="142"/>
      <c r="L18" s="143">
        <v>1.3</v>
      </c>
      <c r="M18" s="95"/>
    </row>
    <row r="19" spans="1:13" x14ac:dyDescent="0.2">
      <c r="A19" s="85"/>
      <c r="B19" s="144" t="s">
        <v>73</v>
      </c>
      <c r="C19" s="145"/>
      <c r="D19" s="146"/>
      <c r="E19" s="147"/>
      <c r="F19" s="146"/>
      <c r="G19" s="147"/>
      <c r="H19" s="146"/>
      <c r="I19" s="147"/>
      <c r="J19" s="126"/>
      <c r="K19" s="137"/>
      <c r="L19" s="148"/>
      <c r="M19" s="95"/>
    </row>
    <row r="20" spans="1:13" x14ac:dyDescent="0.2">
      <c r="A20" s="85"/>
      <c r="B20" s="138" t="s">
        <v>72</v>
      </c>
      <c r="C20" s="139"/>
      <c r="D20" s="140">
        <v>0.4</v>
      </c>
      <c r="E20" s="141">
        <f>C20*D20</f>
        <v>0</v>
      </c>
      <c r="F20" s="140">
        <v>0.84960000000000002</v>
      </c>
      <c r="G20" s="141">
        <f>C20*F20</f>
        <v>0</v>
      </c>
      <c r="H20" s="140">
        <v>8.5599999999999996E-2</v>
      </c>
      <c r="I20" s="141">
        <f>C20*H20</f>
        <v>0</v>
      </c>
      <c r="J20" s="121"/>
      <c r="K20" s="142"/>
      <c r="L20" s="143">
        <v>1.3</v>
      </c>
      <c r="M20" s="95"/>
    </row>
    <row r="21" spans="1:13" x14ac:dyDescent="0.2">
      <c r="A21" s="85"/>
      <c r="B21" s="144" t="s">
        <v>74</v>
      </c>
      <c r="C21" s="145"/>
      <c r="D21" s="146"/>
      <c r="E21" s="146"/>
      <c r="F21" s="146"/>
      <c r="G21" s="147"/>
      <c r="H21" s="146"/>
      <c r="I21" s="147"/>
      <c r="J21" s="126"/>
      <c r="K21" s="137"/>
      <c r="L21" s="148"/>
      <c r="M21" s="95"/>
    </row>
    <row r="22" spans="1:13" x14ac:dyDescent="0.2">
      <c r="A22" s="85"/>
      <c r="B22" s="149" t="s">
        <v>75</v>
      </c>
      <c r="C22" s="130"/>
      <c r="D22" s="131"/>
      <c r="E22" s="132">
        <f>SUM(E18,E20)</f>
        <v>0</v>
      </c>
      <c r="F22" s="131"/>
      <c r="G22" s="133"/>
      <c r="H22" s="131"/>
      <c r="I22" s="133"/>
      <c r="J22" s="150"/>
      <c r="K22" s="134"/>
      <c r="L22" s="112"/>
      <c r="M22" s="95"/>
    </row>
    <row r="23" spans="1:13" x14ac:dyDescent="0.2">
      <c r="A23" s="85"/>
      <c r="B23" s="117" t="s">
        <v>76</v>
      </c>
      <c r="C23" s="118"/>
      <c r="D23" s="119"/>
      <c r="E23" s="119"/>
      <c r="F23" s="119"/>
      <c r="G23" s="120"/>
      <c r="H23" s="119"/>
      <c r="I23" s="120"/>
      <c r="J23" s="121"/>
      <c r="K23" s="142"/>
      <c r="L23" s="122"/>
      <c r="M23" s="95"/>
    </row>
    <row r="24" spans="1:13" x14ac:dyDescent="0.2">
      <c r="A24" s="85"/>
      <c r="B24" s="106" t="s">
        <v>77</v>
      </c>
      <c r="C24" s="123"/>
      <c r="D24" s="124"/>
      <c r="E24" s="124"/>
      <c r="F24" s="124"/>
      <c r="G24" s="125"/>
      <c r="H24" s="124"/>
      <c r="I24" s="125"/>
      <c r="J24" s="126"/>
      <c r="K24" s="137"/>
      <c r="L24" s="127"/>
      <c r="M24" s="95"/>
    </row>
    <row r="25" spans="1:13" x14ac:dyDescent="0.2">
      <c r="A25" s="85"/>
      <c r="B25" s="128" t="s">
        <v>78</v>
      </c>
      <c r="C25" s="111"/>
      <c r="D25" s="112">
        <v>10</v>
      </c>
      <c r="E25" s="113">
        <f>C25*D25</f>
        <v>0</v>
      </c>
      <c r="F25" s="112">
        <v>4.4600000000000001E-2</v>
      </c>
      <c r="G25" s="113">
        <f>C25*F25</f>
        <v>0</v>
      </c>
      <c r="H25" s="112">
        <v>4.4999999999999997E-3</v>
      </c>
      <c r="I25" s="113">
        <f>C25*H25</f>
        <v>0</v>
      </c>
      <c r="J25" s="151"/>
      <c r="K25" s="151"/>
      <c r="L25" s="116">
        <v>1.3</v>
      </c>
      <c r="M25" s="95"/>
    </row>
    <row r="26" spans="1:13" x14ac:dyDescent="0.2">
      <c r="A26" s="85"/>
      <c r="B26" s="128" t="s">
        <v>79</v>
      </c>
      <c r="C26" s="111"/>
      <c r="D26" s="112">
        <v>18</v>
      </c>
      <c r="E26" s="113">
        <f>C26*D26</f>
        <v>0</v>
      </c>
      <c r="F26" s="112">
        <v>8.0699999999999994E-2</v>
      </c>
      <c r="G26" s="113">
        <f>C26*F26</f>
        <v>0</v>
      </c>
      <c r="H26" s="112">
        <v>8.0999999999999996E-3</v>
      </c>
      <c r="I26" s="113">
        <f>C26*H27</f>
        <v>0</v>
      </c>
      <c r="J26" s="151"/>
      <c r="K26" s="151"/>
      <c r="L26" s="116">
        <v>1.3</v>
      </c>
      <c r="M26" s="95"/>
    </row>
    <row r="27" spans="1:13" x14ac:dyDescent="0.2">
      <c r="A27" s="85"/>
      <c r="B27" s="128" t="s">
        <v>80</v>
      </c>
      <c r="C27" s="111"/>
      <c r="D27" s="112">
        <v>13</v>
      </c>
      <c r="E27" s="113">
        <f>C27*D27</f>
        <v>0</v>
      </c>
      <c r="F27" s="112">
        <v>7.8600000000000003E-2</v>
      </c>
      <c r="G27" s="113">
        <f>C27*F27</f>
        <v>0</v>
      </c>
      <c r="H27" s="112">
        <v>7.9000000000000008E-3</v>
      </c>
      <c r="I27" s="113">
        <f>C28*H27</f>
        <v>0</v>
      </c>
      <c r="J27" s="151"/>
      <c r="K27" s="151"/>
      <c r="L27" s="116">
        <v>1.3</v>
      </c>
      <c r="M27" s="95"/>
    </row>
    <row r="28" spans="1:13" x14ac:dyDescent="0.2">
      <c r="A28" s="85"/>
      <c r="B28" s="117" t="s">
        <v>76</v>
      </c>
      <c r="C28" s="152"/>
      <c r="D28" s="119"/>
      <c r="E28" s="119"/>
      <c r="F28" s="153"/>
      <c r="G28" s="142"/>
      <c r="H28" s="153"/>
      <c r="I28" s="120"/>
      <c r="J28" s="142"/>
      <c r="K28" s="142"/>
      <c r="L28" s="154"/>
      <c r="M28" s="95"/>
    </row>
    <row r="29" spans="1:13" x14ac:dyDescent="0.2">
      <c r="A29" s="85"/>
      <c r="B29" s="155" t="s">
        <v>81</v>
      </c>
      <c r="C29" s="156"/>
      <c r="D29" s="124"/>
      <c r="E29" s="124"/>
      <c r="F29" s="157"/>
      <c r="G29" s="137"/>
      <c r="H29" s="157"/>
      <c r="I29" s="125"/>
      <c r="J29" s="137"/>
      <c r="K29" s="137"/>
      <c r="L29" s="158"/>
      <c r="M29" s="95"/>
    </row>
    <row r="30" spans="1:13" x14ac:dyDescent="0.2">
      <c r="A30" s="85"/>
      <c r="B30" s="138" t="s">
        <v>82</v>
      </c>
      <c r="C30" s="139"/>
      <c r="D30" s="140">
        <v>27</v>
      </c>
      <c r="E30" s="141">
        <f>C30*D30</f>
        <v>0</v>
      </c>
      <c r="F30" s="140">
        <v>0.1678</v>
      </c>
      <c r="G30" s="141">
        <f>C30*F30</f>
        <v>0</v>
      </c>
      <c r="H30" s="140">
        <v>0.16900000000000001</v>
      </c>
      <c r="I30" s="141">
        <f>C30*H30</f>
        <v>0</v>
      </c>
      <c r="J30" s="142"/>
      <c r="K30" s="142"/>
      <c r="L30" s="143">
        <v>1.3</v>
      </c>
      <c r="M30" s="95"/>
    </row>
    <row r="31" spans="1:13" x14ac:dyDescent="0.2">
      <c r="A31" s="85"/>
      <c r="B31" s="159" t="s">
        <v>83</v>
      </c>
      <c r="C31" s="145"/>
      <c r="D31" s="146"/>
      <c r="E31" s="147"/>
      <c r="F31" s="146"/>
      <c r="G31" s="160"/>
      <c r="H31" s="146"/>
      <c r="I31" s="147"/>
      <c r="J31" s="137"/>
      <c r="K31" s="137"/>
      <c r="L31" s="148"/>
      <c r="M31" s="95"/>
    </row>
    <row r="32" spans="1:13" x14ac:dyDescent="0.2">
      <c r="A32" s="85"/>
      <c r="B32" s="138" t="s">
        <v>84</v>
      </c>
      <c r="C32" s="139"/>
      <c r="D32" s="140">
        <v>32</v>
      </c>
      <c r="E32" s="141">
        <f>C32*D32</f>
        <v>0</v>
      </c>
      <c r="F32" s="140">
        <v>0.57350000000000001</v>
      </c>
      <c r="G32" s="141">
        <f>C32*F32</f>
        <v>0</v>
      </c>
      <c r="H32" s="140">
        <v>5.7999999999999996E-3</v>
      </c>
      <c r="I32" s="141">
        <f>C32*H32</f>
        <v>0</v>
      </c>
      <c r="J32" s="142"/>
      <c r="K32" s="142"/>
      <c r="L32" s="143">
        <v>1.3</v>
      </c>
      <c r="M32" s="95"/>
    </row>
    <row r="33" spans="1:13" x14ac:dyDescent="0.2">
      <c r="A33" s="85"/>
      <c r="B33" s="144" t="s">
        <v>85</v>
      </c>
      <c r="C33" s="145"/>
      <c r="D33" s="146"/>
      <c r="E33" s="147"/>
      <c r="F33" s="146"/>
      <c r="G33" s="147"/>
      <c r="H33" s="146"/>
      <c r="I33" s="147"/>
      <c r="J33" s="137"/>
      <c r="K33" s="137"/>
      <c r="L33" s="148"/>
      <c r="M33" s="95"/>
    </row>
    <row r="34" spans="1:13" x14ac:dyDescent="0.2">
      <c r="A34" s="85"/>
      <c r="B34" s="138" t="s">
        <v>86</v>
      </c>
      <c r="C34" s="139"/>
      <c r="D34" s="140">
        <v>54</v>
      </c>
      <c r="E34" s="141">
        <f>C34*D34</f>
        <v>0</v>
      </c>
      <c r="F34" s="140">
        <v>0.435</v>
      </c>
      <c r="G34" s="141">
        <f>C34*F34</f>
        <v>0</v>
      </c>
      <c r="H34" s="140">
        <v>4.0000000000000001E-3</v>
      </c>
      <c r="I34" s="141">
        <f>C34*H34</f>
        <v>0</v>
      </c>
      <c r="J34" s="142"/>
      <c r="K34" s="142"/>
      <c r="L34" s="143">
        <v>1.3</v>
      </c>
      <c r="M34" s="95"/>
    </row>
    <row r="35" spans="1:13" x14ac:dyDescent="0.2">
      <c r="A35" s="85"/>
      <c r="B35" s="144" t="s">
        <v>87</v>
      </c>
      <c r="C35" s="145"/>
      <c r="D35" s="146"/>
      <c r="E35" s="147"/>
      <c r="F35" s="146"/>
      <c r="G35" s="147"/>
      <c r="H35" s="146"/>
      <c r="I35" s="147"/>
      <c r="J35" s="137"/>
      <c r="K35" s="137"/>
      <c r="L35" s="148"/>
      <c r="M35" s="95"/>
    </row>
    <row r="36" spans="1:13" x14ac:dyDescent="0.2">
      <c r="A36" s="85"/>
      <c r="B36" s="138" t="s">
        <v>88</v>
      </c>
      <c r="C36" s="139"/>
      <c r="D36" s="140">
        <v>82</v>
      </c>
      <c r="E36" s="141">
        <f>C36*D36</f>
        <v>0</v>
      </c>
      <c r="F36" s="140">
        <v>3.5000000000000003E-2</v>
      </c>
      <c r="G36" s="141">
        <f>C36*F36</f>
        <v>0</v>
      </c>
      <c r="H36" s="140">
        <v>3.5000000000000001E-3</v>
      </c>
      <c r="I36" s="141">
        <f>C36*H36</f>
        <v>0</v>
      </c>
      <c r="J36" s="142"/>
      <c r="K36" s="142"/>
      <c r="L36" s="143">
        <v>1.3</v>
      </c>
      <c r="M36" s="95"/>
    </row>
    <row r="37" spans="1:13" x14ac:dyDescent="0.2">
      <c r="A37" s="85"/>
      <c r="B37" s="144" t="s">
        <v>89</v>
      </c>
      <c r="C37" s="145"/>
      <c r="D37" s="146"/>
      <c r="E37" s="147"/>
      <c r="F37" s="146"/>
      <c r="G37" s="147"/>
      <c r="H37" s="146"/>
      <c r="I37" s="147"/>
      <c r="J37" s="137"/>
      <c r="K37" s="137"/>
      <c r="L37" s="148"/>
      <c r="M37" s="95"/>
    </row>
    <row r="38" spans="1:13" x14ac:dyDescent="0.2">
      <c r="A38" s="85"/>
      <c r="B38" s="138" t="s">
        <v>90</v>
      </c>
      <c r="C38" s="139"/>
      <c r="D38" s="140">
        <v>35</v>
      </c>
      <c r="E38" s="141">
        <f>C38*D38</f>
        <v>0</v>
      </c>
      <c r="F38" s="140">
        <v>4.2500000000000003E-2</v>
      </c>
      <c r="G38" s="141">
        <f>C38*F38</f>
        <v>0</v>
      </c>
      <c r="H38" s="140">
        <v>4.3E-3</v>
      </c>
      <c r="I38" s="141">
        <f>C38*H38</f>
        <v>0</v>
      </c>
      <c r="J38" s="142"/>
      <c r="K38" s="142"/>
      <c r="L38" s="143">
        <v>1.3</v>
      </c>
      <c r="M38" s="95"/>
    </row>
    <row r="39" spans="1:13" x14ac:dyDescent="0.2">
      <c r="A39" s="85"/>
      <c r="B39" s="144" t="s">
        <v>91</v>
      </c>
      <c r="C39" s="145"/>
      <c r="D39" s="146"/>
      <c r="E39" s="147"/>
      <c r="F39" s="146"/>
      <c r="G39" s="147"/>
      <c r="H39" s="146"/>
      <c r="I39" s="147"/>
      <c r="J39" s="137"/>
      <c r="K39" s="137"/>
      <c r="L39" s="148"/>
      <c r="M39" s="95"/>
    </row>
    <row r="40" spans="1:13" ht="20.25" x14ac:dyDescent="0.3">
      <c r="A40" s="85"/>
      <c r="B40" s="161" t="s">
        <v>92</v>
      </c>
      <c r="C40" s="162"/>
      <c r="D40" s="162"/>
      <c r="E40" s="133"/>
      <c r="F40" s="163"/>
      <c r="G40" s="164">
        <f>SUM(G7:G39)</f>
        <v>5.4782000000000002</v>
      </c>
      <c r="H40" s="165"/>
      <c r="I40" s="164">
        <f>SUM(I7:I39)</f>
        <v>0.5504</v>
      </c>
      <c r="J40" s="166"/>
      <c r="K40" s="164">
        <f>SUM(K7:K14)</f>
        <v>0</v>
      </c>
      <c r="L40" s="167"/>
      <c r="M40" s="95"/>
    </row>
  </sheetData>
  <pageMargins left="0.63" right="0.75" top="0.37" bottom="1" header="0" footer="0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-0.249977111117893"/>
  </sheetPr>
  <dimension ref="A1:P24"/>
  <sheetViews>
    <sheetView workbookViewId="0">
      <selection activeCell="B11" sqref="B11"/>
    </sheetView>
  </sheetViews>
  <sheetFormatPr baseColWidth="10" defaultRowHeight="12.75" x14ac:dyDescent="0.2"/>
  <cols>
    <col min="1" max="1" width="24" style="1" customWidth="1"/>
    <col min="2" max="3" width="9.42578125" style="1" customWidth="1"/>
    <col min="4" max="4" width="6.42578125" style="1" customWidth="1"/>
    <col min="5" max="5" width="7.85546875" style="1" customWidth="1"/>
    <col min="6" max="6" width="5.5703125" style="1" customWidth="1"/>
    <col min="7" max="7" width="7.5703125" style="1" customWidth="1"/>
    <col min="8" max="8" width="6.28515625" style="1" customWidth="1"/>
    <col min="9" max="9" width="8.28515625" style="1" customWidth="1"/>
    <col min="10" max="10" width="6.28515625" style="1" customWidth="1"/>
    <col min="11" max="11" width="8.140625" style="1" customWidth="1"/>
    <col min="12" max="12" width="6.140625" style="1" customWidth="1"/>
    <col min="13" max="13" width="9.42578125" style="1" customWidth="1"/>
    <col min="14" max="14" width="6" style="1" customWidth="1"/>
    <col min="15" max="15" width="8.42578125" style="1" customWidth="1"/>
    <col min="16" max="256" width="11.42578125" style="1"/>
    <col min="257" max="257" width="24" style="1" customWidth="1"/>
    <col min="258" max="259" width="9.42578125" style="1" customWidth="1"/>
    <col min="260" max="260" width="6.42578125" style="1" customWidth="1"/>
    <col min="261" max="261" width="7.85546875" style="1" customWidth="1"/>
    <col min="262" max="262" width="5.5703125" style="1" customWidth="1"/>
    <col min="263" max="263" width="7.5703125" style="1" customWidth="1"/>
    <col min="264" max="264" width="6.28515625" style="1" customWidth="1"/>
    <col min="265" max="265" width="8.28515625" style="1" customWidth="1"/>
    <col min="266" max="266" width="6.28515625" style="1" customWidth="1"/>
    <col min="267" max="267" width="8.140625" style="1" customWidth="1"/>
    <col min="268" max="268" width="6.140625" style="1" customWidth="1"/>
    <col min="269" max="269" width="9.42578125" style="1" customWidth="1"/>
    <col min="270" max="270" width="6" style="1" customWidth="1"/>
    <col min="271" max="271" width="8.42578125" style="1" customWidth="1"/>
    <col min="272" max="512" width="11.42578125" style="1"/>
    <col min="513" max="513" width="24" style="1" customWidth="1"/>
    <col min="514" max="515" width="9.42578125" style="1" customWidth="1"/>
    <col min="516" max="516" width="6.42578125" style="1" customWidth="1"/>
    <col min="517" max="517" width="7.85546875" style="1" customWidth="1"/>
    <col min="518" max="518" width="5.5703125" style="1" customWidth="1"/>
    <col min="519" max="519" width="7.5703125" style="1" customWidth="1"/>
    <col min="520" max="520" width="6.28515625" style="1" customWidth="1"/>
    <col min="521" max="521" width="8.28515625" style="1" customWidth="1"/>
    <col min="522" max="522" width="6.28515625" style="1" customWidth="1"/>
    <col min="523" max="523" width="8.140625" style="1" customWidth="1"/>
    <col min="524" max="524" width="6.140625" style="1" customWidth="1"/>
    <col min="525" max="525" width="9.42578125" style="1" customWidth="1"/>
    <col min="526" max="526" width="6" style="1" customWidth="1"/>
    <col min="527" max="527" width="8.42578125" style="1" customWidth="1"/>
    <col min="528" max="768" width="11.42578125" style="1"/>
    <col min="769" max="769" width="24" style="1" customWidth="1"/>
    <col min="770" max="771" width="9.42578125" style="1" customWidth="1"/>
    <col min="772" max="772" width="6.42578125" style="1" customWidth="1"/>
    <col min="773" max="773" width="7.85546875" style="1" customWidth="1"/>
    <col min="774" max="774" width="5.5703125" style="1" customWidth="1"/>
    <col min="775" max="775" width="7.5703125" style="1" customWidth="1"/>
    <col min="776" max="776" width="6.28515625" style="1" customWidth="1"/>
    <col min="777" max="777" width="8.28515625" style="1" customWidth="1"/>
    <col min="778" max="778" width="6.28515625" style="1" customWidth="1"/>
    <col min="779" max="779" width="8.140625" style="1" customWidth="1"/>
    <col min="780" max="780" width="6.140625" style="1" customWidth="1"/>
    <col min="781" max="781" width="9.42578125" style="1" customWidth="1"/>
    <col min="782" max="782" width="6" style="1" customWidth="1"/>
    <col min="783" max="783" width="8.42578125" style="1" customWidth="1"/>
    <col min="784" max="1024" width="11.42578125" style="1"/>
    <col min="1025" max="1025" width="24" style="1" customWidth="1"/>
    <col min="1026" max="1027" width="9.42578125" style="1" customWidth="1"/>
    <col min="1028" max="1028" width="6.42578125" style="1" customWidth="1"/>
    <col min="1029" max="1029" width="7.85546875" style="1" customWidth="1"/>
    <col min="1030" max="1030" width="5.5703125" style="1" customWidth="1"/>
    <col min="1031" max="1031" width="7.5703125" style="1" customWidth="1"/>
    <col min="1032" max="1032" width="6.28515625" style="1" customWidth="1"/>
    <col min="1033" max="1033" width="8.28515625" style="1" customWidth="1"/>
    <col min="1034" max="1034" width="6.28515625" style="1" customWidth="1"/>
    <col min="1035" max="1035" width="8.140625" style="1" customWidth="1"/>
    <col min="1036" max="1036" width="6.140625" style="1" customWidth="1"/>
    <col min="1037" max="1037" width="9.42578125" style="1" customWidth="1"/>
    <col min="1038" max="1038" width="6" style="1" customWidth="1"/>
    <col min="1039" max="1039" width="8.42578125" style="1" customWidth="1"/>
    <col min="1040" max="1280" width="11.42578125" style="1"/>
    <col min="1281" max="1281" width="24" style="1" customWidth="1"/>
    <col min="1282" max="1283" width="9.42578125" style="1" customWidth="1"/>
    <col min="1284" max="1284" width="6.42578125" style="1" customWidth="1"/>
    <col min="1285" max="1285" width="7.85546875" style="1" customWidth="1"/>
    <col min="1286" max="1286" width="5.5703125" style="1" customWidth="1"/>
    <col min="1287" max="1287" width="7.5703125" style="1" customWidth="1"/>
    <col min="1288" max="1288" width="6.28515625" style="1" customWidth="1"/>
    <col min="1289" max="1289" width="8.28515625" style="1" customWidth="1"/>
    <col min="1290" max="1290" width="6.28515625" style="1" customWidth="1"/>
    <col min="1291" max="1291" width="8.140625" style="1" customWidth="1"/>
    <col min="1292" max="1292" width="6.140625" style="1" customWidth="1"/>
    <col min="1293" max="1293" width="9.42578125" style="1" customWidth="1"/>
    <col min="1294" max="1294" width="6" style="1" customWidth="1"/>
    <col min="1295" max="1295" width="8.42578125" style="1" customWidth="1"/>
    <col min="1296" max="1536" width="11.42578125" style="1"/>
    <col min="1537" max="1537" width="24" style="1" customWidth="1"/>
    <col min="1538" max="1539" width="9.42578125" style="1" customWidth="1"/>
    <col min="1540" max="1540" width="6.42578125" style="1" customWidth="1"/>
    <col min="1541" max="1541" width="7.85546875" style="1" customWidth="1"/>
    <col min="1542" max="1542" width="5.5703125" style="1" customWidth="1"/>
    <col min="1543" max="1543" width="7.5703125" style="1" customWidth="1"/>
    <col min="1544" max="1544" width="6.28515625" style="1" customWidth="1"/>
    <col min="1545" max="1545" width="8.28515625" style="1" customWidth="1"/>
    <col min="1546" max="1546" width="6.28515625" style="1" customWidth="1"/>
    <col min="1547" max="1547" width="8.140625" style="1" customWidth="1"/>
    <col min="1548" max="1548" width="6.140625" style="1" customWidth="1"/>
    <col min="1549" max="1549" width="9.42578125" style="1" customWidth="1"/>
    <col min="1550" max="1550" width="6" style="1" customWidth="1"/>
    <col min="1551" max="1551" width="8.42578125" style="1" customWidth="1"/>
    <col min="1552" max="1792" width="11.42578125" style="1"/>
    <col min="1793" max="1793" width="24" style="1" customWidth="1"/>
    <col min="1794" max="1795" width="9.42578125" style="1" customWidth="1"/>
    <col min="1796" max="1796" width="6.42578125" style="1" customWidth="1"/>
    <col min="1797" max="1797" width="7.85546875" style="1" customWidth="1"/>
    <col min="1798" max="1798" width="5.5703125" style="1" customWidth="1"/>
    <col min="1799" max="1799" width="7.5703125" style="1" customWidth="1"/>
    <col min="1800" max="1800" width="6.28515625" style="1" customWidth="1"/>
    <col min="1801" max="1801" width="8.28515625" style="1" customWidth="1"/>
    <col min="1802" max="1802" width="6.28515625" style="1" customWidth="1"/>
    <col min="1803" max="1803" width="8.140625" style="1" customWidth="1"/>
    <col min="1804" max="1804" width="6.140625" style="1" customWidth="1"/>
    <col min="1805" max="1805" width="9.42578125" style="1" customWidth="1"/>
    <col min="1806" max="1806" width="6" style="1" customWidth="1"/>
    <col min="1807" max="1807" width="8.42578125" style="1" customWidth="1"/>
    <col min="1808" max="2048" width="11.42578125" style="1"/>
    <col min="2049" max="2049" width="24" style="1" customWidth="1"/>
    <col min="2050" max="2051" width="9.42578125" style="1" customWidth="1"/>
    <col min="2052" max="2052" width="6.42578125" style="1" customWidth="1"/>
    <col min="2053" max="2053" width="7.85546875" style="1" customWidth="1"/>
    <col min="2054" max="2054" width="5.5703125" style="1" customWidth="1"/>
    <col min="2055" max="2055" width="7.5703125" style="1" customWidth="1"/>
    <col min="2056" max="2056" width="6.28515625" style="1" customWidth="1"/>
    <col min="2057" max="2057" width="8.28515625" style="1" customWidth="1"/>
    <col min="2058" max="2058" width="6.28515625" style="1" customWidth="1"/>
    <col min="2059" max="2059" width="8.140625" style="1" customWidth="1"/>
    <col min="2060" max="2060" width="6.140625" style="1" customWidth="1"/>
    <col min="2061" max="2061" width="9.42578125" style="1" customWidth="1"/>
    <col min="2062" max="2062" width="6" style="1" customWidth="1"/>
    <col min="2063" max="2063" width="8.42578125" style="1" customWidth="1"/>
    <col min="2064" max="2304" width="11.42578125" style="1"/>
    <col min="2305" max="2305" width="24" style="1" customWidth="1"/>
    <col min="2306" max="2307" width="9.42578125" style="1" customWidth="1"/>
    <col min="2308" max="2308" width="6.42578125" style="1" customWidth="1"/>
    <col min="2309" max="2309" width="7.85546875" style="1" customWidth="1"/>
    <col min="2310" max="2310" width="5.5703125" style="1" customWidth="1"/>
    <col min="2311" max="2311" width="7.5703125" style="1" customWidth="1"/>
    <col min="2312" max="2312" width="6.28515625" style="1" customWidth="1"/>
    <col min="2313" max="2313" width="8.28515625" style="1" customWidth="1"/>
    <col min="2314" max="2314" width="6.28515625" style="1" customWidth="1"/>
    <col min="2315" max="2315" width="8.140625" style="1" customWidth="1"/>
    <col min="2316" max="2316" width="6.140625" style="1" customWidth="1"/>
    <col min="2317" max="2317" width="9.42578125" style="1" customWidth="1"/>
    <col min="2318" max="2318" width="6" style="1" customWidth="1"/>
    <col min="2319" max="2319" width="8.42578125" style="1" customWidth="1"/>
    <col min="2320" max="2560" width="11.42578125" style="1"/>
    <col min="2561" max="2561" width="24" style="1" customWidth="1"/>
    <col min="2562" max="2563" width="9.42578125" style="1" customWidth="1"/>
    <col min="2564" max="2564" width="6.42578125" style="1" customWidth="1"/>
    <col min="2565" max="2565" width="7.85546875" style="1" customWidth="1"/>
    <col min="2566" max="2566" width="5.5703125" style="1" customWidth="1"/>
    <col min="2567" max="2567" width="7.5703125" style="1" customWidth="1"/>
    <col min="2568" max="2568" width="6.28515625" style="1" customWidth="1"/>
    <col min="2569" max="2569" width="8.28515625" style="1" customWidth="1"/>
    <col min="2570" max="2570" width="6.28515625" style="1" customWidth="1"/>
    <col min="2571" max="2571" width="8.140625" style="1" customWidth="1"/>
    <col min="2572" max="2572" width="6.140625" style="1" customWidth="1"/>
    <col min="2573" max="2573" width="9.42578125" style="1" customWidth="1"/>
    <col min="2574" max="2574" width="6" style="1" customWidth="1"/>
    <col min="2575" max="2575" width="8.42578125" style="1" customWidth="1"/>
    <col min="2576" max="2816" width="11.42578125" style="1"/>
    <col min="2817" max="2817" width="24" style="1" customWidth="1"/>
    <col min="2818" max="2819" width="9.42578125" style="1" customWidth="1"/>
    <col min="2820" max="2820" width="6.42578125" style="1" customWidth="1"/>
    <col min="2821" max="2821" width="7.85546875" style="1" customWidth="1"/>
    <col min="2822" max="2822" width="5.5703125" style="1" customWidth="1"/>
    <col min="2823" max="2823" width="7.5703125" style="1" customWidth="1"/>
    <col min="2824" max="2824" width="6.28515625" style="1" customWidth="1"/>
    <col min="2825" max="2825" width="8.28515625" style="1" customWidth="1"/>
    <col min="2826" max="2826" width="6.28515625" style="1" customWidth="1"/>
    <col min="2827" max="2827" width="8.140625" style="1" customWidth="1"/>
    <col min="2828" max="2828" width="6.140625" style="1" customWidth="1"/>
    <col min="2829" max="2829" width="9.42578125" style="1" customWidth="1"/>
    <col min="2830" max="2830" width="6" style="1" customWidth="1"/>
    <col min="2831" max="2831" width="8.42578125" style="1" customWidth="1"/>
    <col min="2832" max="3072" width="11.42578125" style="1"/>
    <col min="3073" max="3073" width="24" style="1" customWidth="1"/>
    <col min="3074" max="3075" width="9.42578125" style="1" customWidth="1"/>
    <col min="3076" max="3076" width="6.42578125" style="1" customWidth="1"/>
    <col min="3077" max="3077" width="7.85546875" style="1" customWidth="1"/>
    <col min="3078" max="3078" width="5.5703125" style="1" customWidth="1"/>
    <col min="3079" max="3079" width="7.5703125" style="1" customWidth="1"/>
    <col min="3080" max="3080" width="6.28515625" style="1" customWidth="1"/>
    <col min="3081" max="3081" width="8.28515625" style="1" customWidth="1"/>
    <col min="3082" max="3082" width="6.28515625" style="1" customWidth="1"/>
    <col min="3083" max="3083" width="8.140625" style="1" customWidth="1"/>
    <col min="3084" max="3084" width="6.140625" style="1" customWidth="1"/>
    <col min="3085" max="3085" width="9.42578125" style="1" customWidth="1"/>
    <col min="3086" max="3086" width="6" style="1" customWidth="1"/>
    <col min="3087" max="3087" width="8.42578125" style="1" customWidth="1"/>
    <col min="3088" max="3328" width="11.42578125" style="1"/>
    <col min="3329" max="3329" width="24" style="1" customWidth="1"/>
    <col min="3330" max="3331" width="9.42578125" style="1" customWidth="1"/>
    <col min="3332" max="3332" width="6.42578125" style="1" customWidth="1"/>
    <col min="3333" max="3333" width="7.85546875" style="1" customWidth="1"/>
    <col min="3334" max="3334" width="5.5703125" style="1" customWidth="1"/>
    <col min="3335" max="3335" width="7.5703125" style="1" customWidth="1"/>
    <col min="3336" max="3336" width="6.28515625" style="1" customWidth="1"/>
    <col min="3337" max="3337" width="8.28515625" style="1" customWidth="1"/>
    <col min="3338" max="3338" width="6.28515625" style="1" customWidth="1"/>
    <col min="3339" max="3339" width="8.140625" style="1" customWidth="1"/>
    <col min="3340" max="3340" width="6.140625" style="1" customWidth="1"/>
    <col min="3341" max="3341" width="9.42578125" style="1" customWidth="1"/>
    <col min="3342" max="3342" width="6" style="1" customWidth="1"/>
    <col min="3343" max="3343" width="8.42578125" style="1" customWidth="1"/>
    <col min="3344" max="3584" width="11.42578125" style="1"/>
    <col min="3585" max="3585" width="24" style="1" customWidth="1"/>
    <col min="3586" max="3587" width="9.42578125" style="1" customWidth="1"/>
    <col min="3588" max="3588" width="6.42578125" style="1" customWidth="1"/>
    <col min="3589" max="3589" width="7.85546875" style="1" customWidth="1"/>
    <col min="3590" max="3590" width="5.5703125" style="1" customWidth="1"/>
    <col min="3591" max="3591" width="7.5703125" style="1" customWidth="1"/>
    <col min="3592" max="3592" width="6.28515625" style="1" customWidth="1"/>
    <col min="3593" max="3593" width="8.28515625" style="1" customWidth="1"/>
    <col min="3594" max="3594" width="6.28515625" style="1" customWidth="1"/>
    <col min="3595" max="3595" width="8.140625" style="1" customWidth="1"/>
    <col min="3596" max="3596" width="6.140625" style="1" customWidth="1"/>
    <col min="3597" max="3597" width="9.42578125" style="1" customWidth="1"/>
    <col min="3598" max="3598" width="6" style="1" customWidth="1"/>
    <col min="3599" max="3599" width="8.42578125" style="1" customWidth="1"/>
    <col min="3600" max="3840" width="11.42578125" style="1"/>
    <col min="3841" max="3841" width="24" style="1" customWidth="1"/>
    <col min="3842" max="3843" width="9.42578125" style="1" customWidth="1"/>
    <col min="3844" max="3844" width="6.42578125" style="1" customWidth="1"/>
    <col min="3845" max="3845" width="7.85546875" style="1" customWidth="1"/>
    <col min="3846" max="3846" width="5.5703125" style="1" customWidth="1"/>
    <col min="3847" max="3847" width="7.5703125" style="1" customWidth="1"/>
    <col min="3848" max="3848" width="6.28515625" style="1" customWidth="1"/>
    <col min="3849" max="3849" width="8.28515625" style="1" customWidth="1"/>
    <col min="3850" max="3850" width="6.28515625" style="1" customWidth="1"/>
    <col min="3851" max="3851" width="8.140625" style="1" customWidth="1"/>
    <col min="3852" max="3852" width="6.140625" style="1" customWidth="1"/>
    <col min="3853" max="3853" width="9.42578125" style="1" customWidth="1"/>
    <col min="3854" max="3854" width="6" style="1" customWidth="1"/>
    <col min="3855" max="3855" width="8.42578125" style="1" customWidth="1"/>
    <col min="3856" max="4096" width="11.42578125" style="1"/>
    <col min="4097" max="4097" width="24" style="1" customWidth="1"/>
    <col min="4098" max="4099" width="9.42578125" style="1" customWidth="1"/>
    <col min="4100" max="4100" width="6.42578125" style="1" customWidth="1"/>
    <col min="4101" max="4101" width="7.85546875" style="1" customWidth="1"/>
    <col min="4102" max="4102" width="5.5703125" style="1" customWidth="1"/>
    <col min="4103" max="4103" width="7.5703125" style="1" customWidth="1"/>
    <col min="4104" max="4104" width="6.28515625" style="1" customWidth="1"/>
    <col min="4105" max="4105" width="8.28515625" style="1" customWidth="1"/>
    <col min="4106" max="4106" width="6.28515625" style="1" customWidth="1"/>
    <col min="4107" max="4107" width="8.140625" style="1" customWidth="1"/>
    <col min="4108" max="4108" width="6.140625" style="1" customWidth="1"/>
    <col min="4109" max="4109" width="9.42578125" style="1" customWidth="1"/>
    <col min="4110" max="4110" width="6" style="1" customWidth="1"/>
    <col min="4111" max="4111" width="8.42578125" style="1" customWidth="1"/>
    <col min="4112" max="4352" width="11.42578125" style="1"/>
    <col min="4353" max="4353" width="24" style="1" customWidth="1"/>
    <col min="4354" max="4355" width="9.42578125" style="1" customWidth="1"/>
    <col min="4356" max="4356" width="6.42578125" style="1" customWidth="1"/>
    <col min="4357" max="4357" width="7.85546875" style="1" customWidth="1"/>
    <col min="4358" max="4358" width="5.5703125" style="1" customWidth="1"/>
    <col min="4359" max="4359" width="7.5703125" style="1" customWidth="1"/>
    <col min="4360" max="4360" width="6.28515625" style="1" customWidth="1"/>
    <col min="4361" max="4361" width="8.28515625" style="1" customWidth="1"/>
    <col min="4362" max="4362" width="6.28515625" style="1" customWidth="1"/>
    <col min="4363" max="4363" width="8.140625" style="1" customWidth="1"/>
    <col min="4364" max="4364" width="6.140625" style="1" customWidth="1"/>
    <col min="4365" max="4365" width="9.42578125" style="1" customWidth="1"/>
    <col min="4366" max="4366" width="6" style="1" customWidth="1"/>
    <col min="4367" max="4367" width="8.42578125" style="1" customWidth="1"/>
    <col min="4368" max="4608" width="11.42578125" style="1"/>
    <col min="4609" max="4609" width="24" style="1" customWidth="1"/>
    <col min="4610" max="4611" width="9.42578125" style="1" customWidth="1"/>
    <col min="4612" max="4612" width="6.42578125" style="1" customWidth="1"/>
    <col min="4613" max="4613" width="7.85546875" style="1" customWidth="1"/>
    <col min="4614" max="4614" width="5.5703125" style="1" customWidth="1"/>
    <col min="4615" max="4615" width="7.5703125" style="1" customWidth="1"/>
    <col min="4616" max="4616" width="6.28515625" style="1" customWidth="1"/>
    <col min="4617" max="4617" width="8.28515625" style="1" customWidth="1"/>
    <col min="4618" max="4618" width="6.28515625" style="1" customWidth="1"/>
    <col min="4619" max="4619" width="8.140625" style="1" customWidth="1"/>
    <col min="4620" max="4620" width="6.140625" style="1" customWidth="1"/>
    <col min="4621" max="4621" width="9.42578125" style="1" customWidth="1"/>
    <col min="4622" max="4622" width="6" style="1" customWidth="1"/>
    <col min="4623" max="4623" width="8.42578125" style="1" customWidth="1"/>
    <col min="4624" max="4864" width="11.42578125" style="1"/>
    <col min="4865" max="4865" width="24" style="1" customWidth="1"/>
    <col min="4866" max="4867" width="9.42578125" style="1" customWidth="1"/>
    <col min="4868" max="4868" width="6.42578125" style="1" customWidth="1"/>
    <col min="4869" max="4869" width="7.85546875" style="1" customWidth="1"/>
    <col min="4870" max="4870" width="5.5703125" style="1" customWidth="1"/>
    <col min="4871" max="4871" width="7.5703125" style="1" customWidth="1"/>
    <col min="4872" max="4872" width="6.28515625" style="1" customWidth="1"/>
    <col min="4873" max="4873" width="8.28515625" style="1" customWidth="1"/>
    <col min="4874" max="4874" width="6.28515625" style="1" customWidth="1"/>
    <col min="4875" max="4875" width="8.140625" style="1" customWidth="1"/>
    <col min="4876" max="4876" width="6.140625" style="1" customWidth="1"/>
    <col min="4877" max="4877" width="9.42578125" style="1" customWidth="1"/>
    <col min="4878" max="4878" width="6" style="1" customWidth="1"/>
    <col min="4879" max="4879" width="8.42578125" style="1" customWidth="1"/>
    <col min="4880" max="5120" width="11.42578125" style="1"/>
    <col min="5121" max="5121" width="24" style="1" customWidth="1"/>
    <col min="5122" max="5123" width="9.42578125" style="1" customWidth="1"/>
    <col min="5124" max="5124" width="6.42578125" style="1" customWidth="1"/>
    <col min="5125" max="5125" width="7.85546875" style="1" customWidth="1"/>
    <col min="5126" max="5126" width="5.5703125" style="1" customWidth="1"/>
    <col min="5127" max="5127" width="7.5703125" style="1" customWidth="1"/>
    <col min="5128" max="5128" width="6.28515625" style="1" customWidth="1"/>
    <col min="5129" max="5129" width="8.28515625" style="1" customWidth="1"/>
    <col min="5130" max="5130" width="6.28515625" style="1" customWidth="1"/>
    <col min="5131" max="5131" width="8.140625" style="1" customWidth="1"/>
    <col min="5132" max="5132" width="6.140625" style="1" customWidth="1"/>
    <col min="5133" max="5133" width="9.42578125" style="1" customWidth="1"/>
    <col min="5134" max="5134" width="6" style="1" customWidth="1"/>
    <col min="5135" max="5135" width="8.42578125" style="1" customWidth="1"/>
    <col min="5136" max="5376" width="11.42578125" style="1"/>
    <col min="5377" max="5377" width="24" style="1" customWidth="1"/>
    <col min="5378" max="5379" width="9.42578125" style="1" customWidth="1"/>
    <col min="5380" max="5380" width="6.42578125" style="1" customWidth="1"/>
    <col min="5381" max="5381" width="7.85546875" style="1" customWidth="1"/>
    <col min="5382" max="5382" width="5.5703125" style="1" customWidth="1"/>
    <col min="5383" max="5383" width="7.5703125" style="1" customWidth="1"/>
    <col min="5384" max="5384" width="6.28515625" style="1" customWidth="1"/>
    <col min="5385" max="5385" width="8.28515625" style="1" customWidth="1"/>
    <col min="5386" max="5386" width="6.28515625" style="1" customWidth="1"/>
    <col min="5387" max="5387" width="8.140625" style="1" customWidth="1"/>
    <col min="5388" max="5388" width="6.140625" style="1" customWidth="1"/>
    <col min="5389" max="5389" width="9.42578125" style="1" customWidth="1"/>
    <col min="5390" max="5390" width="6" style="1" customWidth="1"/>
    <col min="5391" max="5391" width="8.42578125" style="1" customWidth="1"/>
    <col min="5392" max="5632" width="11.42578125" style="1"/>
    <col min="5633" max="5633" width="24" style="1" customWidth="1"/>
    <col min="5634" max="5635" width="9.42578125" style="1" customWidth="1"/>
    <col min="5636" max="5636" width="6.42578125" style="1" customWidth="1"/>
    <col min="5637" max="5637" width="7.85546875" style="1" customWidth="1"/>
    <col min="5638" max="5638" width="5.5703125" style="1" customWidth="1"/>
    <col min="5639" max="5639" width="7.5703125" style="1" customWidth="1"/>
    <col min="5640" max="5640" width="6.28515625" style="1" customWidth="1"/>
    <col min="5641" max="5641" width="8.28515625" style="1" customWidth="1"/>
    <col min="5642" max="5642" width="6.28515625" style="1" customWidth="1"/>
    <col min="5643" max="5643" width="8.140625" style="1" customWidth="1"/>
    <col min="5644" max="5644" width="6.140625" style="1" customWidth="1"/>
    <col min="5645" max="5645" width="9.42578125" style="1" customWidth="1"/>
    <col min="5646" max="5646" width="6" style="1" customWidth="1"/>
    <col min="5647" max="5647" width="8.42578125" style="1" customWidth="1"/>
    <col min="5648" max="5888" width="11.42578125" style="1"/>
    <col min="5889" max="5889" width="24" style="1" customWidth="1"/>
    <col min="5890" max="5891" width="9.42578125" style="1" customWidth="1"/>
    <col min="5892" max="5892" width="6.42578125" style="1" customWidth="1"/>
    <col min="5893" max="5893" width="7.85546875" style="1" customWidth="1"/>
    <col min="5894" max="5894" width="5.5703125" style="1" customWidth="1"/>
    <col min="5895" max="5895" width="7.5703125" style="1" customWidth="1"/>
    <col min="5896" max="5896" width="6.28515625" style="1" customWidth="1"/>
    <col min="5897" max="5897" width="8.28515625" style="1" customWidth="1"/>
    <col min="5898" max="5898" width="6.28515625" style="1" customWidth="1"/>
    <col min="5899" max="5899" width="8.140625" style="1" customWidth="1"/>
    <col min="5900" max="5900" width="6.140625" style="1" customWidth="1"/>
    <col min="5901" max="5901" width="9.42578125" style="1" customWidth="1"/>
    <col min="5902" max="5902" width="6" style="1" customWidth="1"/>
    <col min="5903" max="5903" width="8.42578125" style="1" customWidth="1"/>
    <col min="5904" max="6144" width="11.42578125" style="1"/>
    <col min="6145" max="6145" width="24" style="1" customWidth="1"/>
    <col min="6146" max="6147" width="9.42578125" style="1" customWidth="1"/>
    <col min="6148" max="6148" width="6.42578125" style="1" customWidth="1"/>
    <col min="6149" max="6149" width="7.85546875" style="1" customWidth="1"/>
    <col min="6150" max="6150" width="5.5703125" style="1" customWidth="1"/>
    <col min="6151" max="6151" width="7.5703125" style="1" customWidth="1"/>
    <col min="6152" max="6152" width="6.28515625" style="1" customWidth="1"/>
    <col min="6153" max="6153" width="8.28515625" style="1" customWidth="1"/>
    <col min="6154" max="6154" width="6.28515625" style="1" customWidth="1"/>
    <col min="6155" max="6155" width="8.140625" style="1" customWidth="1"/>
    <col min="6156" max="6156" width="6.140625" style="1" customWidth="1"/>
    <col min="6157" max="6157" width="9.42578125" style="1" customWidth="1"/>
    <col min="6158" max="6158" width="6" style="1" customWidth="1"/>
    <col min="6159" max="6159" width="8.42578125" style="1" customWidth="1"/>
    <col min="6160" max="6400" width="11.42578125" style="1"/>
    <col min="6401" max="6401" width="24" style="1" customWidth="1"/>
    <col min="6402" max="6403" width="9.42578125" style="1" customWidth="1"/>
    <col min="6404" max="6404" width="6.42578125" style="1" customWidth="1"/>
    <col min="6405" max="6405" width="7.85546875" style="1" customWidth="1"/>
    <col min="6406" max="6406" width="5.5703125" style="1" customWidth="1"/>
    <col min="6407" max="6407" width="7.5703125" style="1" customWidth="1"/>
    <col min="6408" max="6408" width="6.28515625" style="1" customWidth="1"/>
    <col min="6409" max="6409" width="8.28515625" style="1" customWidth="1"/>
    <col min="6410" max="6410" width="6.28515625" style="1" customWidth="1"/>
    <col min="6411" max="6411" width="8.140625" style="1" customWidth="1"/>
    <col min="6412" max="6412" width="6.140625" style="1" customWidth="1"/>
    <col min="6413" max="6413" width="9.42578125" style="1" customWidth="1"/>
    <col min="6414" max="6414" width="6" style="1" customWidth="1"/>
    <col min="6415" max="6415" width="8.42578125" style="1" customWidth="1"/>
    <col min="6416" max="6656" width="11.42578125" style="1"/>
    <col min="6657" max="6657" width="24" style="1" customWidth="1"/>
    <col min="6658" max="6659" width="9.42578125" style="1" customWidth="1"/>
    <col min="6660" max="6660" width="6.42578125" style="1" customWidth="1"/>
    <col min="6661" max="6661" width="7.85546875" style="1" customWidth="1"/>
    <col min="6662" max="6662" width="5.5703125" style="1" customWidth="1"/>
    <col min="6663" max="6663" width="7.5703125" style="1" customWidth="1"/>
    <col min="6664" max="6664" width="6.28515625" style="1" customWidth="1"/>
    <col min="6665" max="6665" width="8.28515625" style="1" customWidth="1"/>
    <col min="6666" max="6666" width="6.28515625" style="1" customWidth="1"/>
    <col min="6667" max="6667" width="8.140625" style="1" customWidth="1"/>
    <col min="6668" max="6668" width="6.140625" style="1" customWidth="1"/>
    <col min="6669" max="6669" width="9.42578125" style="1" customWidth="1"/>
    <col min="6670" max="6670" width="6" style="1" customWidth="1"/>
    <col min="6671" max="6671" width="8.42578125" style="1" customWidth="1"/>
    <col min="6672" max="6912" width="11.42578125" style="1"/>
    <col min="6913" max="6913" width="24" style="1" customWidth="1"/>
    <col min="6914" max="6915" width="9.42578125" style="1" customWidth="1"/>
    <col min="6916" max="6916" width="6.42578125" style="1" customWidth="1"/>
    <col min="6917" max="6917" width="7.85546875" style="1" customWidth="1"/>
    <col min="6918" max="6918" width="5.5703125" style="1" customWidth="1"/>
    <col min="6919" max="6919" width="7.5703125" style="1" customWidth="1"/>
    <col min="6920" max="6920" width="6.28515625" style="1" customWidth="1"/>
    <col min="6921" max="6921" width="8.28515625" style="1" customWidth="1"/>
    <col min="6922" max="6922" width="6.28515625" style="1" customWidth="1"/>
    <col min="6923" max="6923" width="8.140625" style="1" customWidth="1"/>
    <col min="6924" max="6924" width="6.140625" style="1" customWidth="1"/>
    <col min="6925" max="6925" width="9.42578125" style="1" customWidth="1"/>
    <col min="6926" max="6926" width="6" style="1" customWidth="1"/>
    <col min="6927" max="6927" width="8.42578125" style="1" customWidth="1"/>
    <col min="6928" max="7168" width="11.42578125" style="1"/>
    <col min="7169" max="7169" width="24" style="1" customWidth="1"/>
    <col min="7170" max="7171" width="9.42578125" style="1" customWidth="1"/>
    <col min="7172" max="7172" width="6.42578125" style="1" customWidth="1"/>
    <col min="7173" max="7173" width="7.85546875" style="1" customWidth="1"/>
    <col min="7174" max="7174" width="5.5703125" style="1" customWidth="1"/>
    <col min="7175" max="7175" width="7.5703125" style="1" customWidth="1"/>
    <col min="7176" max="7176" width="6.28515625" style="1" customWidth="1"/>
    <col min="7177" max="7177" width="8.28515625" style="1" customWidth="1"/>
    <col min="7178" max="7178" width="6.28515625" style="1" customWidth="1"/>
    <col min="7179" max="7179" width="8.140625" style="1" customWidth="1"/>
    <col min="7180" max="7180" width="6.140625" style="1" customWidth="1"/>
    <col min="7181" max="7181" width="9.42578125" style="1" customWidth="1"/>
    <col min="7182" max="7182" width="6" style="1" customWidth="1"/>
    <col min="7183" max="7183" width="8.42578125" style="1" customWidth="1"/>
    <col min="7184" max="7424" width="11.42578125" style="1"/>
    <col min="7425" max="7425" width="24" style="1" customWidth="1"/>
    <col min="7426" max="7427" width="9.42578125" style="1" customWidth="1"/>
    <col min="7428" max="7428" width="6.42578125" style="1" customWidth="1"/>
    <col min="7429" max="7429" width="7.85546875" style="1" customWidth="1"/>
    <col min="7430" max="7430" width="5.5703125" style="1" customWidth="1"/>
    <col min="7431" max="7431" width="7.5703125" style="1" customWidth="1"/>
    <col min="7432" max="7432" width="6.28515625" style="1" customWidth="1"/>
    <col min="7433" max="7433" width="8.28515625" style="1" customWidth="1"/>
    <col min="7434" max="7434" width="6.28515625" style="1" customWidth="1"/>
    <col min="7435" max="7435" width="8.140625" style="1" customWidth="1"/>
    <col min="7436" max="7436" width="6.140625" style="1" customWidth="1"/>
    <col min="7437" max="7437" width="9.42578125" style="1" customWidth="1"/>
    <col min="7438" max="7438" width="6" style="1" customWidth="1"/>
    <col min="7439" max="7439" width="8.42578125" style="1" customWidth="1"/>
    <col min="7440" max="7680" width="11.42578125" style="1"/>
    <col min="7681" max="7681" width="24" style="1" customWidth="1"/>
    <col min="7682" max="7683" width="9.42578125" style="1" customWidth="1"/>
    <col min="7684" max="7684" width="6.42578125" style="1" customWidth="1"/>
    <col min="7685" max="7685" width="7.85546875" style="1" customWidth="1"/>
    <col min="7686" max="7686" width="5.5703125" style="1" customWidth="1"/>
    <col min="7687" max="7687" width="7.5703125" style="1" customWidth="1"/>
    <col min="7688" max="7688" width="6.28515625" style="1" customWidth="1"/>
    <col min="7689" max="7689" width="8.28515625" style="1" customWidth="1"/>
    <col min="7690" max="7690" width="6.28515625" style="1" customWidth="1"/>
    <col min="7691" max="7691" width="8.140625" style="1" customWidth="1"/>
    <col min="7692" max="7692" width="6.140625" style="1" customWidth="1"/>
    <col min="7693" max="7693" width="9.42578125" style="1" customWidth="1"/>
    <col min="7694" max="7694" width="6" style="1" customWidth="1"/>
    <col min="7695" max="7695" width="8.42578125" style="1" customWidth="1"/>
    <col min="7696" max="7936" width="11.42578125" style="1"/>
    <col min="7937" max="7937" width="24" style="1" customWidth="1"/>
    <col min="7938" max="7939" width="9.42578125" style="1" customWidth="1"/>
    <col min="7940" max="7940" width="6.42578125" style="1" customWidth="1"/>
    <col min="7941" max="7941" width="7.85546875" style="1" customWidth="1"/>
    <col min="7942" max="7942" width="5.5703125" style="1" customWidth="1"/>
    <col min="7943" max="7943" width="7.5703125" style="1" customWidth="1"/>
    <col min="7944" max="7944" width="6.28515625" style="1" customWidth="1"/>
    <col min="7945" max="7945" width="8.28515625" style="1" customWidth="1"/>
    <col min="7946" max="7946" width="6.28515625" style="1" customWidth="1"/>
    <col min="7947" max="7947" width="8.140625" style="1" customWidth="1"/>
    <col min="7948" max="7948" width="6.140625" style="1" customWidth="1"/>
    <col min="7949" max="7949" width="9.42578125" style="1" customWidth="1"/>
    <col min="7950" max="7950" width="6" style="1" customWidth="1"/>
    <col min="7951" max="7951" width="8.42578125" style="1" customWidth="1"/>
    <col min="7952" max="8192" width="11.42578125" style="1"/>
    <col min="8193" max="8193" width="24" style="1" customWidth="1"/>
    <col min="8194" max="8195" width="9.42578125" style="1" customWidth="1"/>
    <col min="8196" max="8196" width="6.42578125" style="1" customWidth="1"/>
    <col min="8197" max="8197" width="7.85546875" style="1" customWidth="1"/>
    <col min="8198" max="8198" width="5.5703125" style="1" customWidth="1"/>
    <col min="8199" max="8199" width="7.5703125" style="1" customWidth="1"/>
    <col min="8200" max="8200" width="6.28515625" style="1" customWidth="1"/>
    <col min="8201" max="8201" width="8.28515625" style="1" customWidth="1"/>
    <col min="8202" max="8202" width="6.28515625" style="1" customWidth="1"/>
    <col min="8203" max="8203" width="8.140625" style="1" customWidth="1"/>
    <col min="8204" max="8204" width="6.140625" style="1" customWidth="1"/>
    <col min="8205" max="8205" width="9.42578125" style="1" customWidth="1"/>
    <col min="8206" max="8206" width="6" style="1" customWidth="1"/>
    <col min="8207" max="8207" width="8.42578125" style="1" customWidth="1"/>
    <col min="8208" max="8448" width="11.42578125" style="1"/>
    <col min="8449" max="8449" width="24" style="1" customWidth="1"/>
    <col min="8450" max="8451" width="9.42578125" style="1" customWidth="1"/>
    <col min="8452" max="8452" width="6.42578125" style="1" customWidth="1"/>
    <col min="8453" max="8453" width="7.85546875" style="1" customWidth="1"/>
    <col min="8454" max="8454" width="5.5703125" style="1" customWidth="1"/>
    <col min="8455" max="8455" width="7.5703125" style="1" customWidth="1"/>
    <col min="8456" max="8456" width="6.28515625" style="1" customWidth="1"/>
    <col min="8457" max="8457" width="8.28515625" style="1" customWidth="1"/>
    <col min="8458" max="8458" width="6.28515625" style="1" customWidth="1"/>
    <col min="8459" max="8459" width="8.140625" style="1" customWidth="1"/>
    <col min="8460" max="8460" width="6.140625" style="1" customWidth="1"/>
    <col min="8461" max="8461" width="9.42578125" style="1" customWidth="1"/>
    <col min="8462" max="8462" width="6" style="1" customWidth="1"/>
    <col min="8463" max="8463" width="8.42578125" style="1" customWidth="1"/>
    <col min="8464" max="8704" width="11.42578125" style="1"/>
    <col min="8705" max="8705" width="24" style="1" customWidth="1"/>
    <col min="8706" max="8707" width="9.42578125" style="1" customWidth="1"/>
    <col min="8708" max="8708" width="6.42578125" style="1" customWidth="1"/>
    <col min="8709" max="8709" width="7.85546875" style="1" customWidth="1"/>
    <col min="8710" max="8710" width="5.5703125" style="1" customWidth="1"/>
    <col min="8711" max="8711" width="7.5703125" style="1" customWidth="1"/>
    <col min="8712" max="8712" width="6.28515625" style="1" customWidth="1"/>
    <col min="8713" max="8713" width="8.28515625" style="1" customWidth="1"/>
    <col min="8714" max="8714" width="6.28515625" style="1" customWidth="1"/>
    <col min="8715" max="8715" width="8.140625" style="1" customWidth="1"/>
    <col min="8716" max="8716" width="6.140625" style="1" customWidth="1"/>
    <col min="8717" max="8717" width="9.42578125" style="1" customWidth="1"/>
    <col min="8718" max="8718" width="6" style="1" customWidth="1"/>
    <col min="8719" max="8719" width="8.42578125" style="1" customWidth="1"/>
    <col min="8720" max="8960" width="11.42578125" style="1"/>
    <col min="8961" max="8961" width="24" style="1" customWidth="1"/>
    <col min="8962" max="8963" width="9.42578125" style="1" customWidth="1"/>
    <col min="8964" max="8964" width="6.42578125" style="1" customWidth="1"/>
    <col min="8965" max="8965" width="7.85546875" style="1" customWidth="1"/>
    <col min="8966" max="8966" width="5.5703125" style="1" customWidth="1"/>
    <col min="8967" max="8967" width="7.5703125" style="1" customWidth="1"/>
    <col min="8968" max="8968" width="6.28515625" style="1" customWidth="1"/>
    <col min="8969" max="8969" width="8.28515625" style="1" customWidth="1"/>
    <col min="8970" max="8970" width="6.28515625" style="1" customWidth="1"/>
    <col min="8971" max="8971" width="8.140625" style="1" customWidth="1"/>
    <col min="8972" max="8972" width="6.140625" style="1" customWidth="1"/>
    <col min="8973" max="8973" width="9.42578125" style="1" customWidth="1"/>
    <col min="8974" max="8974" width="6" style="1" customWidth="1"/>
    <col min="8975" max="8975" width="8.42578125" style="1" customWidth="1"/>
    <col min="8976" max="9216" width="11.42578125" style="1"/>
    <col min="9217" max="9217" width="24" style="1" customWidth="1"/>
    <col min="9218" max="9219" width="9.42578125" style="1" customWidth="1"/>
    <col min="9220" max="9220" width="6.42578125" style="1" customWidth="1"/>
    <col min="9221" max="9221" width="7.85546875" style="1" customWidth="1"/>
    <col min="9222" max="9222" width="5.5703125" style="1" customWidth="1"/>
    <col min="9223" max="9223" width="7.5703125" style="1" customWidth="1"/>
    <col min="9224" max="9224" width="6.28515625" style="1" customWidth="1"/>
    <col min="9225" max="9225" width="8.28515625" style="1" customWidth="1"/>
    <col min="9226" max="9226" width="6.28515625" style="1" customWidth="1"/>
    <col min="9227" max="9227" width="8.140625" style="1" customWidth="1"/>
    <col min="9228" max="9228" width="6.140625" style="1" customWidth="1"/>
    <col min="9229" max="9229" width="9.42578125" style="1" customWidth="1"/>
    <col min="9230" max="9230" width="6" style="1" customWidth="1"/>
    <col min="9231" max="9231" width="8.42578125" style="1" customWidth="1"/>
    <col min="9232" max="9472" width="11.42578125" style="1"/>
    <col min="9473" max="9473" width="24" style="1" customWidth="1"/>
    <col min="9474" max="9475" width="9.42578125" style="1" customWidth="1"/>
    <col min="9476" max="9476" width="6.42578125" style="1" customWidth="1"/>
    <col min="9477" max="9477" width="7.85546875" style="1" customWidth="1"/>
    <col min="9478" max="9478" width="5.5703125" style="1" customWidth="1"/>
    <col min="9479" max="9479" width="7.5703125" style="1" customWidth="1"/>
    <col min="9480" max="9480" width="6.28515625" style="1" customWidth="1"/>
    <col min="9481" max="9481" width="8.28515625" style="1" customWidth="1"/>
    <col min="9482" max="9482" width="6.28515625" style="1" customWidth="1"/>
    <col min="9483" max="9483" width="8.140625" style="1" customWidth="1"/>
    <col min="9484" max="9484" width="6.140625" style="1" customWidth="1"/>
    <col min="9485" max="9485" width="9.42578125" style="1" customWidth="1"/>
    <col min="9486" max="9486" width="6" style="1" customWidth="1"/>
    <col min="9487" max="9487" width="8.42578125" style="1" customWidth="1"/>
    <col min="9488" max="9728" width="11.42578125" style="1"/>
    <col min="9729" max="9729" width="24" style="1" customWidth="1"/>
    <col min="9730" max="9731" width="9.42578125" style="1" customWidth="1"/>
    <col min="9732" max="9732" width="6.42578125" style="1" customWidth="1"/>
    <col min="9733" max="9733" width="7.85546875" style="1" customWidth="1"/>
    <col min="9734" max="9734" width="5.5703125" style="1" customWidth="1"/>
    <col min="9735" max="9735" width="7.5703125" style="1" customWidth="1"/>
    <col min="9736" max="9736" width="6.28515625" style="1" customWidth="1"/>
    <col min="9737" max="9737" width="8.28515625" style="1" customWidth="1"/>
    <col min="9738" max="9738" width="6.28515625" style="1" customWidth="1"/>
    <col min="9739" max="9739" width="8.140625" style="1" customWidth="1"/>
    <col min="9740" max="9740" width="6.140625" style="1" customWidth="1"/>
    <col min="9741" max="9741" width="9.42578125" style="1" customWidth="1"/>
    <col min="9742" max="9742" width="6" style="1" customWidth="1"/>
    <col min="9743" max="9743" width="8.42578125" style="1" customWidth="1"/>
    <col min="9744" max="9984" width="11.42578125" style="1"/>
    <col min="9985" max="9985" width="24" style="1" customWidth="1"/>
    <col min="9986" max="9987" width="9.42578125" style="1" customWidth="1"/>
    <col min="9988" max="9988" width="6.42578125" style="1" customWidth="1"/>
    <col min="9989" max="9989" width="7.85546875" style="1" customWidth="1"/>
    <col min="9990" max="9990" width="5.5703125" style="1" customWidth="1"/>
    <col min="9991" max="9991" width="7.5703125" style="1" customWidth="1"/>
    <col min="9992" max="9992" width="6.28515625" style="1" customWidth="1"/>
    <col min="9993" max="9993" width="8.28515625" style="1" customWidth="1"/>
    <col min="9994" max="9994" width="6.28515625" style="1" customWidth="1"/>
    <col min="9995" max="9995" width="8.140625" style="1" customWidth="1"/>
    <col min="9996" max="9996" width="6.140625" style="1" customWidth="1"/>
    <col min="9997" max="9997" width="9.42578125" style="1" customWidth="1"/>
    <col min="9998" max="9998" width="6" style="1" customWidth="1"/>
    <col min="9999" max="9999" width="8.42578125" style="1" customWidth="1"/>
    <col min="10000" max="10240" width="11.42578125" style="1"/>
    <col min="10241" max="10241" width="24" style="1" customWidth="1"/>
    <col min="10242" max="10243" width="9.42578125" style="1" customWidth="1"/>
    <col min="10244" max="10244" width="6.42578125" style="1" customWidth="1"/>
    <col min="10245" max="10245" width="7.85546875" style="1" customWidth="1"/>
    <col min="10246" max="10246" width="5.5703125" style="1" customWidth="1"/>
    <col min="10247" max="10247" width="7.5703125" style="1" customWidth="1"/>
    <col min="10248" max="10248" width="6.28515625" style="1" customWidth="1"/>
    <col min="10249" max="10249" width="8.28515625" style="1" customWidth="1"/>
    <col min="10250" max="10250" width="6.28515625" style="1" customWidth="1"/>
    <col min="10251" max="10251" width="8.140625" style="1" customWidth="1"/>
    <col min="10252" max="10252" width="6.140625" style="1" customWidth="1"/>
    <col min="10253" max="10253" width="9.42578125" style="1" customWidth="1"/>
    <col min="10254" max="10254" width="6" style="1" customWidth="1"/>
    <col min="10255" max="10255" width="8.42578125" style="1" customWidth="1"/>
    <col min="10256" max="10496" width="11.42578125" style="1"/>
    <col min="10497" max="10497" width="24" style="1" customWidth="1"/>
    <col min="10498" max="10499" width="9.42578125" style="1" customWidth="1"/>
    <col min="10500" max="10500" width="6.42578125" style="1" customWidth="1"/>
    <col min="10501" max="10501" width="7.85546875" style="1" customWidth="1"/>
    <col min="10502" max="10502" width="5.5703125" style="1" customWidth="1"/>
    <col min="10503" max="10503" width="7.5703125" style="1" customWidth="1"/>
    <col min="10504" max="10504" width="6.28515625" style="1" customWidth="1"/>
    <col min="10505" max="10505" width="8.28515625" style="1" customWidth="1"/>
    <col min="10506" max="10506" width="6.28515625" style="1" customWidth="1"/>
    <col min="10507" max="10507" width="8.140625" style="1" customWidth="1"/>
    <col min="10508" max="10508" width="6.140625" style="1" customWidth="1"/>
    <col min="10509" max="10509" width="9.42578125" style="1" customWidth="1"/>
    <col min="10510" max="10510" width="6" style="1" customWidth="1"/>
    <col min="10511" max="10511" width="8.42578125" style="1" customWidth="1"/>
    <col min="10512" max="10752" width="11.42578125" style="1"/>
    <col min="10753" max="10753" width="24" style="1" customWidth="1"/>
    <col min="10754" max="10755" width="9.42578125" style="1" customWidth="1"/>
    <col min="10756" max="10756" width="6.42578125" style="1" customWidth="1"/>
    <col min="10757" max="10757" width="7.85546875" style="1" customWidth="1"/>
    <col min="10758" max="10758" width="5.5703125" style="1" customWidth="1"/>
    <col min="10759" max="10759" width="7.5703125" style="1" customWidth="1"/>
    <col min="10760" max="10760" width="6.28515625" style="1" customWidth="1"/>
    <col min="10761" max="10761" width="8.28515625" style="1" customWidth="1"/>
    <col min="10762" max="10762" width="6.28515625" style="1" customWidth="1"/>
    <col min="10763" max="10763" width="8.140625" style="1" customWidth="1"/>
    <col min="10764" max="10764" width="6.140625" style="1" customWidth="1"/>
    <col min="10765" max="10765" width="9.42578125" style="1" customWidth="1"/>
    <col min="10766" max="10766" width="6" style="1" customWidth="1"/>
    <col min="10767" max="10767" width="8.42578125" style="1" customWidth="1"/>
    <col min="10768" max="11008" width="11.42578125" style="1"/>
    <col min="11009" max="11009" width="24" style="1" customWidth="1"/>
    <col min="11010" max="11011" width="9.42578125" style="1" customWidth="1"/>
    <col min="11012" max="11012" width="6.42578125" style="1" customWidth="1"/>
    <col min="11013" max="11013" width="7.85546875" style="1" customWidth="1"/>
    <col min="11014" max="11014" width="5.5703125" style="1" customWidth="1"/>
    <col min="11015" max="11015" width="7.5703125" style="1" customWidth="1"/>
    <col min="11016" max="11016" width="6.28515625" style="1" customWidth="1"/>
    <col min="11017" max="11017" width="8.28515625" style="1" customWidth="1"/>
    <col min="11018" max="11018" width="6.28515625" style="1" customWidth="1"/>
    <col min="11019" max="11019" width="8.140625" style="1" customWidth="1"/>
    <col min="11020" max="11020" width="6.140625" style="1" customWidth="1"/>
    <col min="11021" max="11021" width="9.42578125" style="1" customWidth="1"/>
    <col min="11022" max="11022" width="6" style="1" customWidth="1"/>
    <col min="11023" max="11023" width="8.42578125" style="1" customWidth="1"/>
    <col min="11024" max="11264" width="11.42578125" style="1"/>
    <col min="11265" max="11265" width="24" style="1" customWidth="1"/>
    <col min="11266" max="11267" width="9.42578125" style="1" customWidth="1"/>
    <col min="11268" max="11268" width="6.42578125" style="1" customWidth="1"/>
    <col min="11269" max="11269" width="7.85546875" style="1" customWidth="1"/>
    <col min="11270" max="11270" width="5.5703125" style="1" customWidth="1"/>
    <col min="11271" max="11271" width="7.5703125" style="1" customWidth="1"/>
    <col min="11272" max="11272" width="6.28515625" style="1" customWidth="1"/>
    <col min="11273" max="11273" width="8.28515625" style="1" customWidth="1"/>
    <col min="11274" max="11274" width="6.28515625" style="1" customWidth="1"/>
    <col min="11275" max="11275" width="8.140625" style="1" customWidth="1"/>
    <col min="11276" max="11276" width="6.140625" style="1" customWidth="1"/>
    <col min="11277" max="11277" width="9.42578125" style="1" customWidth="1"/>
    <col min="11278" max="11278" width="6" style="1" customWidth="1"/>
    <col min="11279" max="11279" width="8.42578125" style="1" customWidth="1"/>
    <col min="11280" max="11520" width="11.42578125" style="1"/>
    <col min="11521" max="11521" width="24" style="1" customWidth="1"/>
    <col min="11522" max="11523" width="9.42578125" style="1" customWidth="1"/>
    <col min="11524" max="11524" width="6.42578125" style="1" customWidth="1"/>
    <col min="11525" max="11525" width="7.85546875" style="1" customWidth="1"/>
    <col min="11526" max="11526" width="5.5703125" style="1" customWidth="1"/>
    <col min="11527" max="11527" width="7.5703125" style="1" customWidth="1"/>
    <col min="11528" max="11528" width="6.28515625" style="1" customWidth="1"/>
    <col min="11529" max="11529" width="8.28515625" style="1" customWidth="1"/>
    <col min="11530" max="11530" width="6.28515625" style="1" customWidth="1"/>
    <col min="11531" max="11531" width="8.140625" style="1" customWidth="1"/>
    <col min="11532" max="11532" width="6.140625" style="1" customWidth="1"/>
    <col min="11533" max="11533" width="9.42578125" style="1" customWidth="1"/>
    <col min="11534" max="11534" width="6" style="1" customWidth="1"/>
    <col min="11535" max="11535" width="8.42578125" style="1" customWidth="1"/>
    <col min="11536" max="11776" width="11.42578125" style="1"/>
    <col min="11777" max="11777" width="24" style="1" customWidth="1"/>
    <col min="11778" max="11779" width="9.42578125" style="1" customWidth="1"/>
    <col min="11780" max="11780" width="6.42578125" style="1" customWidth="1"/>
    <col min="11781" max="11781" width="7.85546875" style="1" customWidth="1"/>
    <col min="11782" max="11782" width="5.5703125" style="1" customWidth="1"/>
    <col min="11783" max="11783" width="7.5703125" style="1" customWidth="1"/>
    <col min="11784" max="11784" width="6.28515625" style="1" customWidth="1"/>
    <col min="11785" max="11785" width="8.28515625" style="1" customWidth="1"/>
    <col min="11786" max="11786" width="6.28515625" style="1" customWidth="1"/>
    <col min="11787" max="11787" width="8.140625" style="1" customWidth="1"/>
    <col min="11788" max="11788" width="6.140625" style="1" customWidth="1"/>
    <col min="11789" max="11789" width="9.42578125" style="1" customWidth="1"/>
    <col min="11790" max="11790" width="6" style="1" customWidth="1"/>
    <col min="11791" max="11791" width="8.42578125" style="1" customWidth="1"/>
    <col min="11792" max="12032" width="11.42578125" style="1"/>
    <col min="12033" max="12033" width="24" style="1" customWidth="1"/>
    <col min="12034" max="12035" width="9.42578125" style="1" customWidth="1"/>
    <col min="12036" max="12036" width="6.42578125" style="1" customWidth="1"/>
    <col min="12037" max="12037" width="7.85546875" style="1" customWidth="1"/>
    <col min="12038" max="12038" width="5.5703125" style="1" customWidth="1"/>
    <col min="12039" max="12039" width="7.5703125" style="1" customWidth="1"/>
    <col min="12040" max="12040" width="6.28515625" style="1" customWidth="1"/>
    <col min="12041" max="12041" width="8.28515625" style="1" customWidth="1"/>
    <col min="12042" max="12042" width="6.28515625" style="1" customWidth="1"/>
    <col min="12043" max="12043" width="8.140625" style="1" customWidth="1"/>
    <col min="12044" max="12044" width="6.140625" style="1" customWidth="1"/>
    <col min="12045" max="12045" width="9.42578125" style="1" customWidth="1"/>
    <col min="12046" max="12046" width="6" style="1" customWidth="1"/>
    <col min="12047" max="12047" width="8.42578125" style="1" customWidth="1"/>
    <col min="12048" max="12288" width="11.42578125" style="1"/>
    <col min="12289" max="12289" width="24" style="1" customWidth="1"/>
    <col min="12290" max="12291" width="9.42578125" style="1" customWidth="1"/>
    <col min="12292" max="12292" width="6.42578125" style="1" customWidth="1"/>
    <col min="12293" max="12293" width="7.85546875" style="1" customWidth="1"/>
    <col min="12294" max="12294" width="5.5703125" style="1" customWidth="1"/>
    <col min="12295" max="12295" width="7.5703125" style="1" customWidth="1"/>
    <col min="12296" max="12296" width="6.28515625" style="1" customWidth="1"/>
    <col min="12297" max="12297" width="8.28515625" style="1" customWidth="1"/>
    <col min="12298" max="12298" width="6.28515625" style="1" customWidth="1"/>
    <col min="12299" max="12299" width="8.140625" style="1" customWidth="1"/>
    <col min="12300" max="12300" width="6.140625" style="1" customWidth="1"/>
    <col min="12301" max="12301" width="9.42578125" style="1" customWidth="1"/>
    <col min="12302" max="12302" width="6" style="1" customWidth="1"/>
    <col min="12303" max="12303" width="8.42578125" style="1" customWidth="1"/>
    <col min="12304" max="12544" width="11.42578125" style="1"/>
    <col min="12545" max="12545" width="24" style="1" customWidth="1"/>
    <col min="12546" max="12547" width="9.42578125" style="1" customWidth="1"/>
    <col min="12548" max="12548" width="6.42578125" style="1" customWidth="1"/>
    <col min="12549" max="12549" width="7.85546875" style="1" customWidth="1"/>
    <col min="12550" max="12550" width="5.5703125" style="1" customWidth="1"/>
    <col min="12551" max="12551" width="7.5703125" style="1" customWidth="1"/>
    <col min="12552" max="12552" width="6.28515625" style="1" customWidth="1"/>
    <col min="12553" max="12553" width="8.28515625" style="1" customWidth="1"/>
    <col min="12554" max="12554" width="6.28515625" style="1" customWidth="1"/>
    <col min="12555" max="12555" width="8.140625" style="1" customWidth="1"/>
    <col min="12556" max="12556" width="6.140625" style="1" customWidth="1"/>
    <col min="12557" max="12557" width="9.42578125" style="1" customWidth="1"/>
    <col min="12558" max="12558" width="6" style="1" customWidth="1"/>
    <col min="12559" max="12559" width="8.42578125" style="1" customWidth="1"/>
    <col min="12560" max="12800" width="11.42578125" style="1"/>
    <col min="12801" max="12801" width="24" style="1" customWidth="1"/>
    <col min="12802" max="12803" width="9.42578125" style="1" customWidth="1"/>
    <col min="12804" max="12804" width="6.42578125" style="1" customWidth="1"/>
    <col min="12805" max="12805" width="7.85546875" style="1" customWidth="1"/>
    <col min="12806" max="12806" width="5.5703125" style="1" customWidth="1"/>
    <col min="12807" max="12807" width="7.5703125" style="1" customWidth="1"/>
    <col min="12808" max="12808" width="6.28515625" style="1" customWidth="1"/>
    <col min="12809" max="12809" width="8.28515625" style="1" customWidth="1"/>
    <col min="12810" max="12810" width="6.28515625" style="1" customWidth="1"/>
    <col min="12811" max="12811" width="8.140625" style="1" customWidth="1"/>
    <col min="12812" max="12812" width="6.140625" style="1" customWidth="1"/>
    <col min="12813" max="12813" width="9.42578125" style="1" customWidth="1"/>
    <col min="12814" max="12814" width="6" style="1" customWidth="1"/>
    <col min="12815" max="12815" width="8.42578125" style="1" customWidth="1"/>
    <col min="12816" max="13056" width="11.42578125" style="1"/>
    <col min="13057" max="13057" width="24" style="1" customWidth="1"/>
    <col min="13058" max="13059" width="9.42578125" style="1" customWidth="1"/>
    <col min="13060" max="13060" width="6.42578125" style="1" customWidth="1"/>
    <col min="13061" max="13061" width="7.85546875" style="1" customWidth="1"/>
    <col min="13062" max="13062" width="5.5703125" style="1" customWidth="1"/>
    <col min="13063" max="13063" width="7.5703125" style="1" customWidth="1"/>
    <col min="13064" max="13064" width="6.28515625" style="1" customWidth="1"/>
    <col min="13065" max="13065" width="8.28515625" style="1" customWidth="1"/>
    <col min="13066" max="13066" width="6.28515625" style="1" customWidth="1"/>
    <col min="13067" max="13067" width="8.140625" style="1" customWidth="1"/>
    <col min="13068" max="13068" width="6.140625" style="1" customWidth="1"/>
    <col min="13069" max="13069" width="9.42578125" style="1" customWidth="1"/>
    <col min="13070" max="13070" width="6" style="1" customWidth="1"/>
    <col min="13071" max="13071" width="8.42578125" style="1" customWidth="1"/>
    <col min="13072" max="13312" width="11.42578125" style="1"/>
    <col min="13313" max="13313" width="24" style="1" customWidth="1"/>
    <col min="13314" max="13315" width="9.42578125" style="1" customWidth="1"/>
    <col min="13316" max="13316" width="6.42578125" style="1" customWidth="1"/>
    <col min="13317" max="13317" width="7.85546875" style="1" customWidth="1"/>
    <col min="13318" max="13318" width="5.5703125" style="1" customWidth="1"/>
    <col min="13319" max="13319" width="7.5703125" style="1" customWidth="1"/>
    <col min="13320" max="13320" width="6.28515625" style="1" customWidth="1"/>
    <col min="13321" max="13321" width="8.28515625" style="1" customWidth="1"/>
    <col min="13322" max="13322" width="6.28515625" style="1" customWidth="1"/>
    <col min="13323" max="13323" width="8.140625" style="1" customWidth="1"/>
    <col min="13324" max="13324" width="6.140625" style="1" customWidth="1"/>
    <col min="13325" max="13325" width="9.42578125" style="1" customWidth="1"/>
    <col min="13326" max="13326" width="6" style="1" customWidth="1"/>
    <col min="13327" max="13327" width="8.42578125" style="1" customWidth="1"/>
    <col min="13328" max="13568" width="11.42578125" style="1"/>
    <col min="13569" max="13569" width="24" style="1" customWidth="1"/>
    <col min="13570" max="13571" width="9.42578125" style="1" customWidth="1"/>
    <col min="13572" max="13572" width="6.42578125" style="1" customWidth="1"/>
    <col min="13573" max="13573" width="7.85546875" style="1" customWidth="1"/>
    <col min="13574" max="13574" width="5.5703125" style="1" customWidth="1"/>
    <col min="13575" max="13575" width="7.5703125" style="1" customWidth="1"/>
    <col min="13576" max="13576" width="6.28515625" style="1" customWidth="1"/>
    <col min="13577" max="13577" width="8.28515625" style="1" customWidth="1"/>
    <col min="13578" max="13578" width="6.28515625" style="1" customWidth="1"/>
    <col min="13579" max="13579" width="8.140625" style="1" customWidth="1"/>
    <col min="13580" max="13580" width="6.140625" style="1" customWidth="1"/>
    <col min="13581" max="13581" width="9.42578125" style="1" customWidth="1"/>
    <col min="13582" max="13582" width="6" style="1" customWidth="1"/>
    <col min="13583" max="13583" width="8.42578125" style="1" customWidth="1"/>
    <col min="13584" max="13824" width="11.42578125" style="1"/>
    <col min="13825" max="13825" width="24" style="1" customWidth="1"/>
    <col min="13826" max="13827" width="9.42578125" style="1" customWidth="1"/>
    <col min="13828" max="13828" width="6.42578125" style="1" customWidth="1"/>
    <col min="13829" max="13829" width="7.85546875" style="1" customWidth="1"/>
    <col min="13830" max="13830" width="5.5703125" style="1" customWidth="1"/>
    <col min="13831" max="13831" width="7.5703125" style="1" customWidth="1"/>
    <col min="13832" max="13832" width="6.28515625" style="1" customWidth="1"/>
    <col min="13833" max="13833" width="8.28515625" style="1" customWidth="1"/>
    <col min="13834" max="13834" width="6.28515625" style="1" customWidth="1"/>
    <col min="13835" max="13835" width="8.140625" style="1" customWidth="1"/>
    <col min="13836" max="13836" width="6.140625" style="1" customWidth="1"/>
    <col min="13837" max="13837" width="9.42578125" style="1" customWidth="1"/>
    <col min="13838" max="13838" width="6" style="1" customWidth="1"/>
    <col min="13839" max="13839" width="8.42578125" style="1" customWidth="1"/>
    <col min="13840" max="14080" width="11.42578125" style="1"/>
    <col min="14081" max="14081" width="24" style="1" customWidth="1"/>
    <col min="14082" max="14083" width="9.42578125" style="1" customWidth="1"/>
    <col min="14084" max="14084" width="6.42578125" style="1" customWidth="1"/>
    <col min="14085" max="14085" width="7.85546875" style="1" customWidth="1"/>
    <col min="14086" max="14086" width="5.5703125" style="1" customWidth="1"/>
    <col min="14087" max="14087" width="7.5703125" style="1" customWidth="1"/>
    <col min="14088" max="14088" width="6.28515625" style="1" customWidth="1"/>
    <col min="14089" max="14089" width="8.28515625" style="1" customWidth="1"/>
    <col min="14090" max="14090" width="6.28515625" style="1" customWidth="1"/>
    <col min="14091" max="14091" width="8.140625" style="1" customWidth="1"/>
    <col min="14092" max="14092" width="6.140625" style="1" customWidth="1"/>
    <col min="14093" max="14093" width="9.42578125" style="1" customWidth="1"/>
    <col min="14094" max="14094" width="6" style="1" customWidth="1"/>
    <col min="14095" max="14095" width="8.42578125" style="1" customWidth="1"/>
    <col min="14096" max="14336" width="11.42578125" style="1"/>
    <col min="14337" max="14337" width="24" style="1" customWidth="1"/>
    <col min="14338" max="14339" width="9.42578125" style="1" customWidth="1"/>
    <col min="14340" max="14340" width="6.42578125" style="1" customWidth="1"/>
    <col min="14341" max="14341" width="7.85546875" style="1" customWidth="1"/>
    <col min="14342" max="14342" width="5.5703125" style="1" customWidth="1"/>
    <col min="14343" max="14343" width="7.5703125" style="1" customWidth="1"/>
    <col min="14344" max="14344" width="6.28515625" style="1" customWidth="1"/>
    <col min="14345" max="14345" width="8.28515625" style="1" customWidth="1"/>
    <col min="14346" max="14346" width="6.28515625" style="1" customWidth="1"/>
    <col min="14347" max="14347" width="8.140625" style="1" customWidth="1"/>
    <col min="14348" max="14348" width="6.140625" style="1" customWidth="1"/>
    <col min="14349" max="14349" width="9.42578125" style="1" customWidth="1"/>
    <col min="14350" max="14350" width="6" style="1" customWidth="1"/>
    <col min="14351" max="14351" width="8.42578125" style="1" customWidth="1"/>
    <col min="14352" max="14592" width="11.42578125" style="1"/>
    <col min="14593" max="14593" width="24" style="1" customWidth="1"/>
    <col min="14594" max="14595" width="9.42578125" style="1" customWidth="1"/>
    <col min="14596" max="14596" width="6.42578125" style="1" customWidth="1"/>
    <col min="14597" max="14597" width="7.85546875" style="1" customWidth="1"/>
    <col min="14598" max="14598" width="5.5703125" style="1" customWidth="1"/>
    <col min="14599" max="14599" width="7.5703125" style="1" customWidth="1"/>
    <col min="14600" max="14600" width="6.28515625" style="1" customWidth="1"/>
    <col min="14601" max="14601" width="8.28515625" style="1" customWidth="1"/>
    <col min="14602" max="14602" width="6.28515625" style="1" customWidth="1"/>
    <col min="14603" max="14603" width="8.140625" style="1" customWidth="1"/>
    <col min="14604" max="14604" width="6.140625" style="1" customWidth="1"/>
    <col min="14605" max="14605" width="9.42578125" style="1" customWidth="1"/>
    <col min="14606" max="14606" width="6" style="1" customWidth="1"/>
    <col min="14607" max="14607" width="8.42578125" style="1" customWidth="1"/>
    <col min="14608" max="14848" width="11.42578125" style="1"/>
    <col min="14849" max="14849" width="24" style="1" customWidth="1"/>
    <col min="14850" max="14851" width="9.42578125" style="1" customWidth="1"/>
    <col min="14852" max="14852" width="6.42578125" style="1" customWidth="1"/>
    <col min="14853" max="14853" width="7.85546875" style="1" customWidth="1"/>
    <col min="14854" max="14854" width="5.5703125" style="1" customWidth="1"/>
    <col min="14855" max="14855" width="7.5703125" style="1" customWidth="1"/>
    <col min="14856" max="14856" width="6.28515625" style="1" customWidth="1"/>
    <col min="14857" max="14857" width="8.28515625" style="1" customWidth="1"/>
    <col min="14858" max="14858" width="6.28515625" style="1" customWidth="1"/>
    <col min="14859" max="14859" width="8.140625" style="1" customWidth="1"/>
    <col min="14860" max="14860" width="6.140625" style="1" customWidth="1"/>
    <col min="14861" max="14861" width="9.42578125" style="1" customWidth="1"/>
    <col min="14862" max="14862" width="6" style="1" customWidth="1"/>
    <col min="14863" max="14863" width="8.42578125" style="1" customWidth="1"/>
    <col min="14864" max="15104" width="11.42578125" style="1"/>
    <col min="15105" max="15105" width="24" style="1" customWidth="1"/>
    <col min="15106" max="15107" width="9.42578125" style="1" customWidth="1"/>
    <col min="15108" max="15108" width="6.42578125" style="1" customWidth="1"/>
    <col min="15109" max="15109" width="7.85546875" style="1" customWidth="1"/>
    <col min="15110" max="15110" width="5.5703125" style="1" customWidth="1"/>
    <col min="15111" max="15111" width="7.5703125" style="1" customWidth="1"/>
    <col min="15112" max="15112" width="6.28515625" style="1" customWidth="1"/>
    <col min="15113" max="15113" width="8.28515625" style="1" customWidth="1"/>
    <col min="15114" max="15114" width="6.28515625" style="1" customWidth="1"/>
    <col min="15115" max="15115" width="8.140625" style="1" customWidth="1"/>
    <col min="15116" max="15116" width="6.140625" style="1" customWidth="1"/>
    <col min="15117" max="15117" width="9.42578125" style="1" customWidth="1"/>
    <col min="15118" max="15118" width="6" style="1" customWidth="1"/>
    <col min="15119" max="15119" width="8.42578125" style="1" customWidth="1"/>
    <col min="15120" max="15360" width="11.42578125" style="1"/>
    <col min="15361" max="15361" width="24" style="1" customWidth="1"/>
    <col min="15362" max="15363" width="9.42578125" style="1" customWidth="1"/>
    <col min="15364" max="15364" width="6.42578125" style="1" customWidth="1"/>
    <col min="15365" max="15365" width="7.85546875" style="1" customWidth="1"/>
    <col min="15366" max="15366" width="5.5703125" style="1" customWidth="1"/>
    <col min="15367" max="15367" width="7.5703125" style="1" customWidth="1"/>
    <col min="15368" max="15368" width="6.28515625" style="1" customWidth="1"/>
    <col min="15369" max="15369" width="8.28515625" style="1" customWidth="1"/>
    <col min="15370" max="15370" width="6.28515625" style="1" customWidth="1"/>
    <col min="15371" max="15371" width="8.140625" style="1" customWidth="1"/>
    <col min="15372" max="15372" width="6.140625" style="1" customWidth="1"/>
    <col min="15373" max="15373" width="9.42578125" style="1" customWidth="1"/>
    <col min="15374" max="15374" width="6" style="1" customWidth="1"/>
    <col min="15375" max="15375" width="8.42578125" style="1" customWidth="1"/>
    <col min="15376" max="15616" width="11.42578125" style="1"/>
    <col min="15617" max="15617" width="24" style="1" customWidth="1"/>
    <col min="15618" max="15619" width="9.42578125" style="1" customWidth="1"/>
    <col min="15620" max="15620" width="6.42578125" style="1" customWidth="1"/>
    <col min="15621" max="15621" width="7.85546875" style="1" customWidth="1"/>
    <col min="15622" max="15622" width="5.5703125" style="1" customWidth="1"/>
    <col min="15623" max="15623" width="7.5703125" style="1" customWidth="1"/>
    <col min="15624" max="15624" width="6.28515625" style="1" customWidth="1"/>
    <col min="15625" max="15625" width="8.28515625" style="1" customWidth="1"/>
    <col min="15626" max="15626" width="6.28515625" style="1" customWidth="1"/>
    <col min="15627" max="15627" width="8.140625" style="1" customWidth="1"/>
    <col min="15628" max="15628" width="6.140625" style="1" customWidth="1"/>
    <col min="15629" max="15629" width="9.42578125" style="1" customWidth="1"/>
    <col min="15630" max="15630" width="6" style="1" customWidth="1"/>
    <col min="15631" max="15631" width="8.42578125" style="1" customWidth="1"/>
    <col min="15632" max="15872" width="11.42578125" style="1"/>
    <col min="15873" max="15873" width="24" style="1" customWidth="1"/>
    <col min="15874" max="15875" width="9.42578125" style="1" customWidth="1"/>
    <col min="15876" max="15876" width="6.42578125" style="1" customWidth="1"/>
    <col min="15877" max="15877" width="7.85546875" style="1" customWidth="1"/>
    <col min="15878" max="15878" width="5.5703125" style="1" customWidth="1"/>
    <col min="15879" max="15879" width="7.5703125" style="1" customWidth="1"/>
    <col min="15880" max="15880" width="6.28515625" style="1" customWidth="1"/>
    <col min="15881" max="15881" width="8.28515625" style="1" customWidth="1"/>
    <col min="15882" max="15882" width="6.28515625" style="1" customWidth="1"/>
    <col min="15883" max="15883" width="8.140625" style="1" customWidth="1"/>
    <col min="15884" max="15884" width="6.140625" style="1" customWidth="1"/>
    <col min="15885" max="15885" width="9.42578125" style="1" customWidth="1"/>
    <col min="15886" max="15886" width="6" style="1" customWidth="1"/>
    <col min="15887" max="15887" width="8.42578125" style="1" customWidth="1"/>
    <col min="15888" max="16128" width="11.42578125" style="1"/>
    <col min="16129" max="16129" width="24" style="1" customWidth="1"/>
    <col min="16130" max="16131" width="9.42578125" style="1" customWidth="1"/>
    <col min="16132" max="16132" width="6.42578125" style="1" customWidth="1"/>
    <col min="16133" max="16133" width="7.85546875" style="1" customWidth="1"/>
    <col min="16134" max="16134" width="5.5703125" style="1" customWidth="1"/>
    <col min="16135" max="16135" width="7.5703125" style="1" customWidth="1"/>
    <col min="16136" max="16136" width="6.28515625" style="1" customWidth="1"/>
    <col min="16137" max="16137" width="8.28515625" style="1" customWidth="1"/>
    <col min="16138" max="16138" width="6.28515625" style="1" customWidth="1"/>
    <col min="16139" max="16139" width="8.140625" style="1" customWidth="1"/>
    <col min="16140" max="16140" width="6.140625" style="1" customWidth="1"/>
    <col min="16141" max="16141" width="9.42578125" style="1" customWidth="1"/>
    <col min="16142" max="16142" width="6" style="1" customWidth="1"/>
    <col min="16143" max="16143" width="8.42578125" style="1" customWidth="1"/>
    <col min="16144" max="16384" width="11.42578125" style="1"/>
  </cols>
  <sheetData>
    <row r="1" spans="1:16" ht="15" x14ac:dyDescent="0.2">
      <c r="A1" s="86" t="s">
        <v>93</v>
      </c>
    </row>
    <row r="2" spans="1:16" x14ac:dyDescent="0.2">
      <c r="A2" s="88"/>
      <c r="B2" s="89" t="s">
        <v>44</v>
      </c>
      <c r="C2" s="91"/>
      <c r="D2" s="92" t="s">
        <v>46</v>
      </c>
      <c r="E2" s="92"/>
      <c r="F2" s="92"/>
      <c r="G2" s="92"/>
      <c r="H2" s="92"/>
      <c r="I2" s="92"/>
      <c r="J2" s="92"/>
      <c r="K2" s="92"/>
      <c r="L2" s="92"/>
      <c r="M2" s="92"/>
      <c r="N2" s="93"/>
      <c r="O2" s="168"/>
      <c r="P2" s="95"/>
    </row>
    <row r="3" spans="1:16" x14ac:dyDescent="0.2">
      <c r="A3" s="88" t="s">
        <v>47</v>
      </c>
      <c r="B3" s="90" t="s">
        <v>48</v>
      </c>
      <c r="C3" s="97" t="s">
        <v>51</v>
      </c>
      <c r="D3" s="90" t="s">
        <v>94</v>
      </c>
      <c r="E3" s="90" t="s">
        <v>24</v>
      </c>
      <c r="F3" s="90" t="s">
        <v>94</v>
      </c>
      <c r="G3" s="90" t="s">
        <v>53</v>
      </c>
      <c r="H3" s="90" t="s">
        <v>94</v>
      </c>
      <c r="I3" s="90" t="s">
        <v>95</v>
      </c>
      <c r="J3" s="90" t="s">
        <v>94</v>
      </c>
      <c r="K3" s="90" t="s">
        <v>96</v>
      </c>
      <c r="L3" s="90" t="s">
        <v>94</v>
      </c>
      <c r="M3" s="90" t="s">
        <v>97</v>
      </c>
      <c r="N3" s="90" t="s">
        <v>94</v>
      </c>
      <c r="O3" s="90" t="s">
        <v>54</v>
      </c>
      <c r="P3" s="95"/>
    </row>
    <row r="4" spans="1:16" x14ac:dyDescent="0.2">
      <c r="A4" s="98"/>
      <c r="B4" s="99" t="s">
        <v>55</v>
      </c>
      <c r="C4" s="99" t="s">
        <v>57</v>
      </c>
      <c r="D4" s="99" t="s">
        <v>50</v>
      </c>
      <c r="E4" s="99" t="s">
        <v>58</v>
      </c>
      <c r="F4" s="99" t="s">
        <v>50</v>
      </c>
      <c r="G4" s="99" t="s">
        <v>58</v>
      </c>
      <c r="H4" s="99" t="s">
        <v>50</v>
      </c>
      <c r="I4" s="99" t="s">
        <v>98</v>
      </c>
      <c r="J4" s="99" t="s">
        <v>50</v>
      </c>
      <c r="K4" s="99" t="s">
        <v>99</v>
      </c>
      <c r="L4" s="99" t="s">
        <v>50</v>
      </c>
      <c r="M4" s="99" t="s">
        <v>100</v>
      </c>
      <c r="N4" s="99" t="s">
        <v>50</v>
      </c>
      <c r="O4" s="169"/>
      <c r="P4" s="95"/>
    </row>
    <row r="5" spans="1:16" x14ac:dyDescent="0.2">
      <c r="A5" s="170" t="s">
        <v>101</v>
      </c>
      <c r="B5" s="171"/>
      <c r="C5" s="171"/>
      <c r="D5" s="171"/>
      <c r="E5" s="172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95"/>
    </row>
    <row r="6" spans="1:16" x14ac:dyDescent="0.2">
      <c r="A6" s="173" t="s">
        <v>102</v>
      </c>
      <c r="B6" s="111">
        <v>121</v>
      </c>
      <c r="C6" s="114">
        <v>7.1999999999999998E-3</v>
      </c>
      <c r="D6" s="113">
        <f>(B6*C6)</f>
        <v>0.87119999999999997</v>
      </c>
      <c r="E6" s="114">
        <v>4.0000000000000001E-3</v>
      </c>
      <c r="F6" s="113">
        <f>B6*E6</f>
        <v>0.48399999999999999</v>
      </c>
      <c r="G6" s="151"/>
      <c r="H6" s="174"/>
      <c r="I6" s="151"/>
      <c r="J6" s="151"/>
      <c r="K6" s="151"/>
      <c r="L6" s="151"/>
      <c r="M6" s="151"/>
      <c r="N6" s="174"/>
      <c r="O6" s="175">
        <v>1.3</v>
      </c>
      <c r="P6" s="95"/>
    </row>
    <row r="7" spans="1:16" x14ac:dyDescent="0.2">
      <c r="A7" s="176" t="s">
        <v>103</v>
      </c>
      <c r="B7" s="171"/>
      <c r="C7" s="177"/>
      <c r="D7" s="178"/>
      <c r="E7" s="177"/>
      <c r="F7" s="178"/>
      <c r="G7" s="177"/>
      <c r="H7" s="171"/>
      <c r="I7" s="177"/>
      <c r="J7" s="177"/>
      <c r="K7" s="177"/>
      <c r="L7" s="177"/>
      <c r="M7" s="177"/>
      <c r="N7" s="171"/>
      <c r="O7" s="177"/>
      <c r="P7" s="95"/>
    </row>
    <row r="8" spans="1:16" x14ac:dyDescent="0.2">
      <c r="A8" s="179" t="s">
        <v>104</v>
      </c>
      <c r="B8" s="111">
        <v>35</v>
      </c>
      <c r="C8" s="114">
        <v>7.1400000000000005E-2</v>
      </c>
      <c r="D8" s="113">
        <f>(B8*C8)</f>
        <v>2.4990000000000001</v>
      </c>
      <c r="E8" s="114">
        <v>9.5999999999999992E-3</v>
      </c>
      <c r="F8" s="113">
        <f>(B8*E8)</f>
        <v>0.33599999999999997</v>
      </c>
      <c r="G8" s="151"/>
      <c r="H8" s="174"/>
      <c r="I8" s="114">
        <v>0.67200000000000004</v>
      </c>
      <c r="J8" s="113">
        <f>(B8*I8)</f>
        <v>23.520000000000003</v>
      </c>
      <c r="K8" s="151"/>
      <c r="L8" s="151"/>
      <c r="M8" s="151"/>
      <c r="N8" s="174"/>
      <c r="O8" s="180" t="s">
        <v>105</v>
      </c>
      <c r="P8" s="95"/>
    </row>
    <row r="9" spans="1:16" x14ac:dyDescent="0.2">
      <c r="A9" s="179" t="s">
        <v>106</v>
      </c>
      <c r="B9" s="111">
        <v>86</v>
      </c>
      <c r="C9" s="114">
        <v>8.9300000000000004E-2</v>
      </c>
      <c r="D9" s="113">
        <f>(B9*C9)</f>
        <v>7.6798000000000002</v>
      </c>
      <c r="E9" s="114">
        <v>1.2200000000000001E-2</v>
      </c>
      <c r="F9" s="113">
        <f>(B9*E9)</f>
        <v>1.0492000000000001</v>
      </c>
      <c r="G9" s="114">
        <v>6.1999999999999998E-3</v>
      </c>
      <c r="H9" s="113">
        <f>(B9*G9)</f>
        <v>0.53320000000000001</v>
      </c>
      <c r="I9" s="114"/>
      <c r="J9" s="114"/>
      <c r="K9" s="151"/>
      <c r="L9" s="151"/>
      <c r="M9" s="151"/>
      <c r="N9" s="174"/>
      <c r="O9" s="180" t="s">
        <v>62</v>
      </c>
      <c r="P9" s="95"/>
    </row>
    <row r="10" spans="1:16" x14ac:dyDescent="0.2">
      <c r="A10" s="176" t="s">
        <v>107</v>
      </c>
      <c r="B10" s="171"/>
      <c r="C10" s="177"/>
      <c r="D10" s="178"/>
      <c r="E10" s="177"/>
      <c r="F10" s="170" t="s">
        <v>108</v>
      </c>
      <c r="G10" s="177"/>
      <c r="H10" s="178"/>
      <c r="I10" s="177"/>
      <c r="J10" s="177"/>
      <c r="K10" s="177"/>
      <c r="L10" s="177"/>
      <c r="M10" s="177"/>
      <c r="N10" s="171"/>
      <c r="O10" s="177"/>
      <c r="P10" s="95"/>
    </row>
    <row r="11" spans="1:16" x14ac:dyDescent="0.2">
      <c r="A11" s="179" t="s">
        <v>109</v>
      </c>
      <c r="B11" s="111">
        <v>35</v>
      </c>
      <c r="C11" s="114">
        <v>4.99E-2</v>
      </c>
      <c r="D11" s="113">
        <f>(B11*C11)</f>
        <v>1.7464999999999999</v>
      </c>
      <c r="E11" s="114">
        <v>6.7999999999999996E-3</v>
      </c>
      <c r="F11" s="113">
        <f>(B11*E11)</f>
        <v>0.23799999999999999</v>
      </c>
      <c r="G11" s="114">
        <v>3.5000000000000001E-3</v>
      </c>
      <c r="H11" s="113">
        <f>(B11*G11)</f>
        <v>0.1225</v>
      </c>
      <c r="I11" s="151"/>
      <c r="J11" s="151"/>
      <c r="K11" s="151"/>
      <c r="L11" s="151"/>
      <c r="M11" s="151"/>
      <c r="N11" s="174"/>
      <c r="O11" s="180" t="s">
        <v>62</v>
      </c>
      <c r="P11" s="95"/>
    </row>
    <row r="12" spans="1:16" x14ac:dyDescent="0.2">
      <c r="A12" s="179" t="s">
        <v>110</v>
      </c>
      <c r="B12" s="111">
        <v>86</v>
      </c>
      <c r="C12" s="114">
        <v>4.58E-2</v>
      </c>
      <c r="D12" s="113">
        <f>(B12*C12)</f>
        <v>3.9388000000000001</v>
      </c>
      <c r="E12" s="114">
        <v>6.1999999999999998E-3</v>
      </c>
      <c r="F12" s="113">
        <f>(B12*E12)</f>
        <v>0.53320000000000001</v>
      </c>
      <c r="G12" s="114">
        <v>3.2000000000000002E-3</v>
      </c>
      <c r="H12" s="113">
        <f>(B12*G12)</f>
        <v>0.2752</v>
      </c>
      <c r="I12" s="151"/>
      <c r="J12" s="151"/>
      <c r="K12" s="151"/>
      <c r="L12" s="151"/>
      <c r="M12" s="151"/>
      <c r="N12" s="174"/>
      <c r="O12" s="180" t="s">
        <v>62</v>
      </c>
      <c r="P12" s="95"/>
    </row>
    <row r="13" spans="1:16" x14ac:dyDescent="0.2">
      <c r="A13" s="179" t="s">
        <v>111</v>
      </c>
      <c r="B13" s="111"/>
      <c r="C13" s="114"/>
      <c r="D13" s="113"/>
      <c r="E13" s="114"/>
      <c r="F13" s="113">
        <f>SUM(F11:F12)</f>
        <v>0.7712</v>
      </c>
      <c r="G13" s="114"/>
      <c r="H13" s="113"/>
      <c r="I13" s="151"/>
      <c r="J13" s="151"/>
      <c r="K13" s="151"/>
      <c r="L13" s="151"/>
      <c r="M13" s="151"/>
      <c r="N13" s="174"/>
      <c r="O13" s="114"/>
      <c r="P13" s="95"/>
    </row>
    <row r="14" spans="1:16" x14ac:dyDescent="0.2">
      <c r="A14" s="176" t="s">
        <v>112</v>
      </c>
      <c r="B14" s="171"/>
      <c r="C14" s="177"/>
      <c r="D14" s="178"/>
      <c r="E14" s="177"/>
      <c r="F14" s="178"/>
      <c r="G14" s="177"/>
      <c r="H14" s="171"/>
      <c r="I14" s="177"/>
      <c r="J14" s="177"/>
      <c r="K14" s="177"/>
      <c r="L14" s="177"/>
      <c r="M14" s="177"/>
      <c r="N14" s="171"/>
      <c r="O14" s="177"/>
      <c r="P14" s="95"/>
    </row>
    <row r="15" spans="1:16" x14ac:dyDescent="0.2">
      <c r="A15" s="179" t="s">
        <v>113</v>
      </c>
      <c r="B15" s="111"/>
      <c r="C15" s="114">
        <v>0.26350000000000001</v>
      </c>
      <c r="D15" s="113">
        <f>(B15*C15)</f>
        <v>0</v>
      </c>
      <c r="E15" s="114">
        <v>2.6800000000000001E-2</v>
      </c>
      <c r="F15" s="113">
        <f>(B15*E15)</f>
        <v>0</v>
      </c>
      <c r="G15" s="151"/>
      <c r="H15" s="174"/>
      <c r="I15" s="114">
        <v>1.0023</v>
      </c>
      <c r="J15" s="113">
        <f>(B15*I15)</f>
        <v>0</v>
      </c>
      <c r="K15" s="151"/>
      <c r="L15" s="151"/>
      <c r="M15" s="151"/>
      <c r="N15" s="174"/>
      <c r="O15" s="180" t="s">
        <v>114</v>
      </c>
      <c r="P15" s="95"/>
    </row>
    <row r="16" spans="1:16" x14ac:dyDescent="0.2">
      <c r="A16" s="179" t="s">
        <v>115</v>
      </c>
      <c r="B16" s="111"/>
      <c r="C16" s="114">
        <v>0.2319</v>
      </c>
      <c r="D16" s="113">
        <f>(B16*C16)</f>
        <v>0</v>
      </c>
      <c r="E16" s="114">
        <v>2.35E-2</v>
      </c>
      <c r="F16" s="113">
        <f>(B16*E16)</f>
        <v>0</v>
      </c>
      <c r="G16" s="151"/>
      <c r="H16" s="174"/>
      <c r="I16" s="114">
        <v>0.88200000000000001</v>
      </c>
      <c r="J16" s="113">
        <f>(B16*I16)</f>
        <v>0</v>
      </c>
      <c r="K16" s="151"/>
      <c r="L16" s="151"/>
      <c r="M16" s="151"/>
      <c r="N16" s="174"/>
      <c r="O16" s="180" t="s">
        <v>105</v>
      </c>
      <c r="P16" s="95"/>
    </row>
    <row r="17" spans="1:16" x14ac:dyDescent="0.2">
      <c r="A17" s="181" t="s">
        <v>116</v>
      </c>
      <c r="B17" s="182"/>
      <c r="C17" s="183"/>
      <c r="D17" s="184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5"/>
      <c r="P17" s="95"/>
    </row>
    <row r="18" spans="1:16" x14ac:dyDescent="0.2">
      <c r="A18" s="186" t="s">
        <v>117</v>
      </c>
      <c r="B18" s="111"/>
      <c r="C18" s="187">
        <v>4.5699999999999998E-2</v>
      </c>
      <c r="D18" s="113">
        <f>(B18*C18)</f>
        <v>0</v>
      </c>
      <c r="E18" s="188"/>
      <c r="F18" s="189"/>
      <c r="G18" s="188"/>
      <c r="H18" s="189"/>
      <c r="I18" s="188"/>
      <c r="J18" s="188"/>
      <c r="K18" s="114">
        <v>7.4880000000000004</v>
      </c>
      <c r="L18" s="113">
        <f>(B18*K18)</f>
        <v>0</v>
      </c>
      <c r="M18" s="151"/>
      <c r="N18" s="189"/>
      <c r="O18" s="175">
        <v>4.0999999999999996</v>
      </c>
      <c r="P18" s="95"/>
    </row>
    <row r="19" spans="1:16" x14ac:dyDescent="0.2">
      <c r="A19" s="190" t="s">
        <v>118</v>
      </c>
      <c r="B19" s="111"/>
      <c r="C19" s="188"/>
      <c r="D19" s="191"/>
      <c r="E19" s="188"/>
      <c r="F19" s="189"/>
      <c r="G19" s="188"/>
      <c r="H19" s="189"/>
      <c r="I19" s="188"/>
      <c r="J19" s="188"/>
      <c r="K19" s="114"/>
      <c r="L19" s="113"/>
      <c r="M19" s="151"/>
      <c r="N19" s="189"/>
      <c r="O19" s="180"/>
      <c r="P19" s="95"/>
    </row>
    <row r="20" spans="1:16" x14ac:dyDescent="0.2">
      <c r="A20" s="186" t="s">
        <v>119</v>
      </c>
      <c r="B20" s="111"/>
      <c r="C20" s="187">
        <v>4.3400000000000001E-2</v>
      </c>
      <c r="D20" s="113">
        <f>(B20*C20)</f>
        <v>0</v>
      </c>
      <c r="E20" s="188"/>
      <c r="F20" s="189"/>
      <c r="G20" s="188"/>
      <c r="H20" s="189"/>
      <c r="I20" s="188"/>
      <c r="J20" s="188"/>
      <c r="K20" s="114">
        <v>7.4880000000000004</v>
      </c>
      <c r="L20" s="113">
        <f>(B20*K20)</f>
        <v>0</v>
      </c>
      <c r="M20" s="151"/>
      <c r="N20" s="189"/>
      <c r="O20" s="175">
        <v>4.0999999999999996</v>
      </c>
      <c r="P20" s="95"/>
    </row>
    <row r="21" spans="1:16" x14ac:dyDescent="0.2">
      <c r="A21" s="190" t="s">
        <v>118</v>
      </c>
      <c r="B21" s="111"/>
      <c r="C21" s="188"/>
      <c r="D21" s="189"/>
      <c r="E21" s="188"/>
      <c r="F21" s="189"/>
      <c r="G21" s="188"/>
      <c r="H21" s="189"/>
      <c r="I21" s="188"/>
      <c r="J21" s="192"/>
      <c r="K21" s="114"/>
      <c r="L21" s="113"/>
      <c r="M21" s="151"/>
      <c r="N21" s="189"/>
      <c r="O21" s="180"/>
      <c r="P21" s="95"/>
    </row>
    <row r="22" spans="1:16" x14ac:dyDescent="0.2">
      <c r="A22" s="186" t="s">
        <v>120</v>
      </c>
      <c r="B22" s="111"/>
      <c r="C22" s="188"/>
      <c r="D22" s="189"/>
      <c r="E22" s="188"/>
      <c r="F22" s="189"/>
      <c r="G22" s="188"/>
      <c r="H22" s="189"/>
      <c r="I22" s="188"/>
      <c r="J22" s="188"/>
      <c r="K22" s="114">
        <v>7.4880000000000004</v>
      </c>
      <c r="L22" s="113">
        <f>(B22*K22)</f>
        <v>0</v>
      </c>
      <c r="M22" s="114">
        <v>1.633</v>
      </c>
      <c r="N22" s="113">
        <f>(B22*M22)</f>
        <v>0</v>
      </c>
      <c r="O22" s="175">
        <v>4.0999999999999996</v>
      </c>
      <c r="P22" s="95"/>
    </row>
    <row r="23" spans="1:16" x14ac:dyDescent="0.2">
      <c r="A23" s="190" t="s">
        <v>121</v>
      </c>
      <c r="B23" s="111"/>
      <c r="C23" s="188"/>
      <c r="D23" s="189"/>
      <c r="E23" s="188"/>
      <c r="F23" s="189"/>
      <c r="G23" s="188"/>
      <c r="H23" s="189"/>
      <c r="I23" s="188"/>
      <c r="J23" s="188"/>
      <c r="K23" s="114"/>
      <c r="L23" s="114"/>
      <c r="M23" s="114"/>
      <c r="N23" s="173"/>
      <c r="O23" s="193"/>
      <c r="P23" s="95"/>
    </row>
    <row r="24" spans="1:16" ht="20.25" x14ac:dyDescent="0.3">
      <c r="A24" s="194" t="s">
        <v>111</v>
      </c>
      <c r="B24" s="194"/>
      <c r="C24" s="195"/>
      <c r="D24" s="196">
        <f>SUM(D6:D23)</f>
        <v>16.735299999999999</v>
      </c>
      <c r="E24" s="197"/>
      <c r="F24" s="196">
        <f>SUM(F6:F9,F15:F16)</f>
        <v>1.8692000000000002</v>
      </c>
      <c r="G24" s="198"/>
      <c r="H24" s="196">
        <f>SUM(H9:H12)</f>
        <v>0.93089999999999995</v>
      </c>
      <c r="I24" s="199"/>
      <c r="J24" s="200">
        <f>SUM(J8:J16)</f>
        <v>23.520000000000003</v>
      </c>
      <c r="K24" s="199"/>
      <c r="L24" s="200">
        <f>SUM(L18:L22)</f>
        <v>0</v>
      </c>
      <c r="M24" s="199"/>
      <c r="N24" s="196">
        <f>SUM(N18:N22)</f>
        <v>0</v>
      </c>
      <c r="O24" s="201"/>
      <c r="P24" s="95"/>
    </row>
  </sheetData>
  <pageMargins left="0.75" right="0.75" top="1" bottom="1" header="0" footer="0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B1:N24"/>
  <sheetViews>
    <sheetView workbookViewId="0">
      <selection activeCell="C17" sqref="C17"/>
    </sheetView>
  </sheetViews>
  <sheetFormatPr baseColWidth="10" defaultRowHeight="12.75" x14ac:dyDescent="0.2"/>
  <cols>
    <col min="1" max="1" width="2.85546875" style="1" customWidth="1"/>
    <col min="2" max="2" width="22.85546875" style="1" customWidth="1"/>
    <col min="3" max="3" width="11.42578125" style="1"/>
    <col min="4" max="4" width="7.140625" style="1" customWidth="1"/>
    <col min="5" max="5" width="8.85546875" style="1" customWidth="1"/>
    <col min="6" max="7" width="9.85546875" style="1" customWidth="1"/>
    <col min="8" max="8" width="9.42578125" style="1" customWidth="1"/>
    <col min="9" max="9" width="8" style="1" customWidth="1"/>
    <col min="10" max="10" width="11.28515625" style="1" customWidth="1"/>
    <col min="11" max="11" width="6.42578125" style="1" customWidth="1"/>
    <col min="12" max="12" width="8.42578125" style="1" customWidth="1"/>
    <col min="13" max="13" width="6.85546875" style="1" customWidth="1"/>
    <col min="14" max="256" width="11.42578125" style="1"/>
    <col min="257" max="257" width="2.85546875" style="1" customWidth="1"/>
    <col min="258" max="258" width="22.85546875" style="1" customWidth="1"/>
    <col min="259" max="259" width="11.42578125" style="1"/>
    <col min="260" max="260" width="7.140625" style="1" customWidth="1"/>
    <col min="261" max="261" width="8.85546875" style="1" customWidth="1"/>
    <col min="262" max="263" width="9.85546875" style="1" customWidth="1"/>
    <col min="264" max="264" width="9.42578125" style="1" customWidth="1"/>
    <col min="265" max="265" width="8" style="1" customWidth="1"/>
    <col min="266" max="266" width="11.28515625" style="1" customWidth="1"/>
    <col min="267" max="267" width="6.42578125" style="1" customWidth="1"/>
    <col min="268" max="268" width="8.42578125" style="1" customWidth="1"/>
    <col min="269" max="269" width="6.85546875" style="1" customWidth="1"/>
    <col min="270" max="512" width="11.42578125" style="1"/>
    <col min="513" max="513" width="2.85546875" style="1" customWidth="1"/>
    <col min="514" max="514" width="22.85546875" style="1" customWidth="1"/>
    <col min="515" max="515" width="11.42578125" style="1"/>
    <col min="516" max="516" width="7.140625" style="1" customWidth="1"/>
    <col min="517" max="517" width="8.85546875" style="1" customWidth="1"/>
    <col min="518" max="519" width="9.85546875" style="1" customWidth="1"/>
    <col min="520" max="520" width="9.42578125" style="1" customWidth="1"/>
    <col min="521" max="521" width="8" style="1" customWidth="1"/>
    <col min="522" max="522" width="11.28515625" style="1" customWidth="1"/>
    <col min="523" max="523" width="6.42578125" style="1" customWidth="1"/>
    <col min="524" max="524" width="8.42578125" style="1" customWidth="1"/>
    <col min="525" max="525" width="6.85546875" style="1" customWidth="1"/>
    <col min="526" max="768" width="11.42578125" style="1"/>
    <col min="769" max="769" width="2.85546875" style="1" customWidth="1"/>
    <col min="770" max="770" width="22.85546875" style="1" customWidth="1"/>
    <col min="771" max="771" width="11.42578125" style="1"/>
    <col min="772" max="772" width="7.140625" style="1" customWidth="1"/>
    <col min="773" max="773" width="8.85546875" style="1" customWidth="1"/>
    <col min="774" max="775" width="9.85546875" style="1" customWidth="1"/>
    <col min="776" max="776" width="9.42578125" style="1" customWidth="1"/>
    <col min="777" max="777" width="8" style="1" customWidth="1"/>
    <col min="778" max="778" width="11.28515625" style="1" customWidth="1"/>
    <col min="779" max="779" width="6.42578125" style="1" customWidth="1"/>
    <col min="780" max="780" width="8.42578125" style="1" customWidth="1"/>
    <col min="781" max="781" width="6.85546875" style="1" customWidth="1"/>
    <col min="782" max="1024" width="11.42578125" style="1"/>
    <col min="1025" max="1025" width="2.85546875" style="1" customWidth="1"/>
    <col min="1026" max="1026" width="22.85546875" style="1" customWidth="1"/>
    <col min="1027" max="1027" width="11.42578125" style="1"/>
    <col min="1028" max="1028" width="7.140625" style="1" customWidth="1"/>
    <col min="1029" max="1029" width="8.85546875" style="1" customWidth="1"/>
    <col min="1030" max="1031" width="9.85546875" style="1" customWidth="1"/>
    <col min="1032" max="1032" width="9.42578125" style="1" customWidth="1"/>
    <col min="1033" max="1033" width="8" style="1" customWidth="1"/>
    <col min="1034" max="1034" width="11.28515625" style="1" customWidth="1"/>
    <col min="1035" max="1035" width="6.42578125" style="1" customWidth="1"/>
    <col min="1036" max="1036" width="8.42578125" style="1" customWidth="1"/>
    <col min="1037" max="1037" width="6.85546875" style="1" customWidth="1"/>
    <col min="1038" max="1280" width="11.42578125" style="1"/>
    <col min="1281" max="1281" width="2.85546875" style="1" customWidth="1"/>
    <col min="1282" max="1282" width="22.85546875" style="1" customWidth="1"/>
    <col min="1283" max="1283" width="11.42578125" style="1"/>
    <col min="1284" max="1284" width="7.140625" style="1" customWidth="1"/>
    <col min="1285" max="1285" width="8.85546875" style="1" customWidth="1"/>
    <col min="1286" max="1287" width="9.85546875" style="1" customWidth="1"/>
    <col min="1288" max="1288" width="9.42578125" style="1" customWidth="1"/>
    <col min="1289" max="1289" width="8" style="1" customWidth="1"/>
    <col min="1290" max="1290" width="11.28515625" style="1" customWidth="1"/>
    <col min="1291" max="1291" width="6.42578125" style="1" customWidth="1"/>
    <col min="1292" max="1292" width="8.42578125" style="1" customWidth="1"/>
    <col min="1293" max="1293" width="6.85546875" style="1" customWidth="1"/>
    <col min="1294" max="1536" width="11.42578125" style="1"/>
    <col min="1537" max="1537" width="2.85546875" style="1" customWidth="1"/>
    <col min="1538" max="1538" width="22.85546875" style="1" customWidth="1"/>
    <col min="1539" max="1539" width="11.42578125" style="1"/>
    <col min="1540" max="1540" width="7.140625" style="1" customWidth="1"/>
    <col min="1541" max="1541" width="8.85546875" style="1" customWidth="1"/>
    <col min="1542" max="1543" width="9.85546875" style="1" customWidth="1"/>
    <col min="1544" max="1544" width="9.42578125" style="1" customWidth="1"/>
    <col min="1545" max="1545" width="8" style="1" customWidth="1"/>
    <col min="1546" max="1546" width="11.28515625" style="1" customWidth="1"/>
    <col min="1547" max="1547" width="6.42578125" style="1" customWidth="1"/>
    <col min="1548" max="1548" width="8.42578125" style="1" customWidth="1"/>
    <col min="1549" max="1549" width="6.85546875" style="1" customWidth="1"/>
    <col min="1550" max="1792" width="11.42578125" style="1"/>
    <col min="1793" max="1793" width="2.85546875" style="1" customWidth="1"/>
    <col min="1794" max="1794" width="22.85546875" style="1" customWidth="1"/>
    <col min="1795" max="1795" width="11.42578125" style="1"/>
    <col min="1796" max="1796" width="7.140625" style="1" customWidth="1"/>
    <col min="1797" max="1797" width="8.85546875" style="1" customWidth="1"/>
    <col min="1798" max="1799" width="9.85546875" style="1" customWidth="1"/>
    <col min="1800" max="1800" width="9.42578125" style="1" customWidth="1"/>
    <col min="1801" max="1801" width="8" style="1" customWidth="1"/>
    <col min="1802" max="1802" width="11.28515625" style="1" customWidth="1"/>
    <col min="1803" max="1803" width="6.42578125" style="1" customWidth="1"/>
    <col min="1804" max="1804" width="8.42578125" style="1" customWidth="1"/>
    <col min="1805" max="1805" width="6.85546875" style="1" customWidth="1"/>
    <col min="1806" max="2048" width="11.42578125" style="1"/>
    <col min="2049" max="2049" width="2.85546875" style="1" customWidth="1"/>
    <col min="2050" max="2050" width="22.85546875" style="1" customWidth="1"/>
    <col min="2051" max="2051" width="11.42578125" style="1"/>
    <col min="2052" max="2052" width="7.140625" style="1" customWidth="1"/>
    <col min="2053" max="2053" width="8.85546875" style="1" customWidth="1"/>
    <col min="2054" max="2055" width="9.85546875" style="1" customWidth="1"/>
    <col min="2056" max="2056" width="9.42578125" style="1" customWidth="1"/>
    <col min="2057" max="2057" width="8" style="1" customWidth="1"/>
    <col min="2058" max="2058" width="11.28515625" style="1" customWidth="1"/>
    <col min="2059" max="2059" width="6.42578125" style="1" customWidth="1"/>
    <col min="2060" max="2060" width="8.42578125" style="1" customWidth="1"/>
    <col min="2061" max="2061" width="6.85546875" style="1" customWidth="1"/>
    <col min="2062" max="2304" width="11.42578125" style="1"/>
    <col min="2305" max="2305" width="2.85546875" style="1" customWidth="1"/>
    <col min="2306" max="2306" width="22.85546875" style="1" customWidth="1"/>
    <col min="2307" max="2307" width="11.42578125" style="1"/>
    <col min="2308" max="2308" width="7.140625" style="1" customWidth="1"/>
    <col min="2309" max="2309" width="8.85546875" style="1" customWidth="1"/>
    <col min="2310" max="2311" width="9.85546875" style="1" customWidth="1"/>
    <col min="2312" max="2312" width="9.42578125" style="1" customWidth="1"/>
    <col min="2313" max="2313" width="8" style="1" customWidth="1"/>
    <col min="2314" max="2314" width="11.28515625" style="1" customWidth="1"/>
    <col min="2315" max="2315" width="6.42578125" style="1" customWidth="1"/>
    <col min="2316" max="2316" width="8.42578125" style="1" customWidth="1"/>
    <col min="2317" max="2317" width="6.85546875" style="1" customWidth="1"/>
    <col min="2318" max="2560" width="11.42578125" style="1"/>
    <col min="2561" max="2561" width="2.85546875" style="1" customWidth="1"/>
    <col min="2562" max="2562" width="22.85546875" style="1" customWidth="1"/>
    <col min="2563" max="2563" width="11.42578125" style="1"/>
    <col min="2564" max="2564" width="7.140625" style="1" customWidth="1"/>
    <col min="2565" max="2565" width="8.85546875" style="1" customWidth="1"/>
    <col min="2566" max="2567" width="9.85546875" style="1" customWidth="1"/>
    <col min="2568" max="2568" width="9.42578125" style="1" customWidth="1"/>
    <col min="2569" max="2569" width="8" style="1" customWidth="1"/>
    <col min="2570" max="2570" width="11.28515625" style="1" customWidth="1"/>
    <col min="2571" max="2571" width="6.42578125" style="1" customWidth="1"/>
    <col min="2572" max="2572" width="8.42578125" style="1" customWidth="1"/>
    <col min="2573" max="2573" width="6.85546875" style="1" customWidth="1"/>
    <col min="2574" max="2816" width="11.42578125" style="1"/>
    <col min="2817" max="2817" width="2.85546875" style="1" customWidth="1"/>
    <col min="2818" max="2818" width="22.85546875" style="1" customWidth="1"/>
    <col min="2819" max="2819" width="11.42578125" style="1"/>
    <col min="2820" max="2820" width="7.140625" style="1" customWidth="1"/>
    <col min="2821" max="2821" width="8.85546875" style="1" customWidth="1"/>
    <col min="2822" max="2823" width="9.85546875" style="1" customWidth="1"/>
    <col min="2824" max="2824" width="9.42578125" style="1" customWidth="1"/>
    <col min="2825" max="2825" width="8" style="1" customWidth="1"/>
    <col min="2826" max="2826" width="11.28515625" style="1" customWidth="1"/>
    <col min="2827" max="2827" width="6.42578125" style="1" customWidth="1"/>
    <col min="2828" max="2828" width="8.42578125" style="1" customWidth="1"/>
    <col min="2829" max="2829" width="6.85546875" style="1" customWidth="1"/>
    <col min="2830" max="3072" width="11.42578125" style="1"/>
    <col min="3073" max="3073" width="2.85546875" style="1" customWidth="1"/>
    <col min="3074" max="3074" width="22.85546875" style="1" customWidth="1"/>
    <col min="3075" max="3075" width="11.42578125" style="1"/>
    <col min="3076" max="3076" width="7.140625" style="1" customWidth="1"/>
    <col min="3077" max="3077" width="8.85546875" style="1" customWidth="1"/>
    <col min="3078" max="3079" width="9.85546875" style="1" customWidth="1"/>
    <col min="3080" max="3080" width="9.42578125" style="1" customWidth="1"/>
    <col min="3081" max="3081" width="8" style="1" customWidth="1"/>
    <col min="3082" max="3082" width="11.28515625" style="1" customWidth="1"/>
    <col min="3083" max="3083" width="6.42578125" style="1" customWidth="1"/>
    <col min="3084" max="3084" width="8.42578125" style="1" customWidth="1"/>
    <col min="3085" max="3085" width="6.85546875" style="1" customWidth="1"/>
    <col min="3086" max="3328" width="11.42578125" style="1"/>
    <col min="3329" max="3329" width="2.85546875" style="1" customWidth="1"/>
    <col min="3330" max="3330" width="22.85546875" style="1" customWidth="1"/>
    <col min="3331" max="3331" width="11.42578125" style="1"/>
    <col min="3332" max="3332" width="7.140625" style="1" customWidth="1"/>
    <col min="3333" max="3333" width="8.85546875" style="1" customWidth="1"/>
    <col min="3334" max="3335" width="9.85546875" style="1" customWidth="1"/>
    <col min="3336" max="3336" width="9.42578125" style="1" customWidth="1"/>
    <col min="3337" max="3337" width="8" style="1" customWidth="1"/>
    <col min="3338" max="3338" width="11.28515625" style="1" customWidth="1"/>
    <col min="3339" max="3339" width="6.42578125" style="1" customWidth="1"/>
    <col min="3340" max="3340" width="8.42578125" style="1" customWidth="1"/>
    <col min="3341" max="3341" width="6.85546875" style="1" customWidth="1"/>
    <col min="3342" max="3584" width="11.42578125" style="1"/>
    <col min="3585" max="3585" width="2.85546875" style="1" customWidth="1"/>
    <col min="3586" max="3586" width="22.85546875" style="1" customWidth="1"/>
    <col min="3587" max="3587" width="11.42578125" style="1"/>
    <col min="3588" max="3588" width="7.140625" style="1" customWidth="1"/>
    <col min="3589" max="3589" width="8.85546875" style="1" customWidth="1"/>
    <col min="3590" max="3591" width="9.85546875" style="1" customWidth="1"/>
    <col min="3592" max="3592" width="9.42578125" style="1" customWidth="1"/>
    <col min="3593" max="3593" width="8" style="1" customWidth="1"/>
    <col min="3594" max="3594" width="11.28515625" style="1" customWidth="1"/>
    <col min="3595" max="3595" width="6.42578125" style="1" customWidth="1"/>
    <col min="3596" max="3596" width="8.42578125" style="1" customWidth="1"/>
    <col min="3597" max="3597" width="6.85546875" style="1" customWidth="1"/>
    <col min="3598" max="3840" width="11.42578125" style="1"/>
    <col min="3841" max="3841" width="2.85546875" style="1" customWidth="1"/>
    <col min="3842" max="3842" width="22.85546875" style="1" customWidth="1"/>
    <col min="3843" max="3843" width="11.42578125" style="1"/>
    <col min="3844" max="3844" width="7.140625" style="1" customWidth="1"/>
    <col min="3845" max="3845" width="8.85546875" style="1" customWidth="1"/>
    <col min="3846" max="3847" width="9.85546875" style="1" customWidth="1"/>
    <col min="3848" max="3848" width="9.42578125" style="1" customWidth="1"/>
    <col min="3849" max="3849" width="8" style="1" customWidth="1"/>
    <col min="3850" max="3850" width="11.28515625" style="1" customWidth="1"/>
    <col min="3851" max="3851" width="6.42578125" style="1" customWidth="1"/>
    <col min="3852" max="3852" width="8.42578125" style="1" customWidth="1"/>
    <col min="3853" max="3853" width="6.85546875" style="1" customWidth="1"/>
    <col min="3854" max="4096" width="11.42578125" style="1"/>
    <col min="4097" max="4097" width="2.85546875" style="1" customWidth="1"/>
    <col min="4098" max="4098" width="22.85546875" style="1" customWidth="1"/>
    <col min="4099" max="4099" width="11.42578125" style="1"/>
    <col min="4100" max="4100" width="7.140625" style="1" customWidth="1"/>
    <col min="4101" max="4101" width="8.85546875" style="1" customWidth="1"/>
    <col min="4102" max="4103" width="9.85546875" style="1" customWidth="1"/>
    <col min="4104" max="4104" width="9.42578125" style="1" customWidth="1"/>
    <col min="4105" max="4105" width="8" style="1" customWidth="1"/>
    <col min="4106" max="4106" width="11.28515625" style="1" customWidth="1"/>
    <col min="4107" max="4107" width="6.42578125" style="1" customWidth="1"/>
    <col min="4108" max="4108" width="8.42578125" style="1" customWidth="1"/>
    <col min="4109" max="4109" width="6.85546875" style="1" customWidth="1"/>
    <col min="4110" max="4352" width="11.42578125" style="1"/>
    <col min="4353" max="4353" width="2.85546875" style="1" customWidth="1"/>
    <col min="4354" max="4354" width="22.85546875" style="1" customWidth="1"/>
    <col min="4355" max="4355" width="11.42578125" style="1"/>
    <col min="4356" max="4356" width="7.140625" style="1" customWidth="1"/>
    <col min="4357" max="4357" width="8.85546875" style="1" customWidth="1"/>
    <col min="4358" max="4359" width="9.85546875" style="1" customWidth="1"/>
    <col min="4360" max="4360" width="9.42578125" style="1" customWidth="1"/>
    <col min="4361" max="4361" width="8" style="1" customWidth="1"/>
    <col min="4362" max="4362" width="11.28515625" style="1" customWidth="1"/>
    <col min="4363" max="4363" width="6.42578125" style="1" customWidth="1"/>
    <col min="4364" max="4364" width="8.42578125" style="1" customWidth="1"/>
    <col min="4365" max="4365" width="6.85546875" style="1" customWidth="1"/>
    <col min="4366" max="4608" width="11.42578125" style="1"/>
    <col min="4609" max="4609" width="2.85546875" style="1" customWidth="1"/>
    <col min="4610" max="4610" width="22.85546875" style="1" customWidth="1"/>
    <col min="4611" max="4611" width="11.42578125" style="1"/>
    <col min="4612" max="4612" width="7.140625" style="1" customWidth="1"/>
    <col min="4613" max="4613" width="8.85546875" style="1" customWidth="1"/>
    <col min="4614" max="4615" width="9.85546875" style="1" customWidth="1"/>
    <col min="4616" max="4616" width="9.42578125" style="1" customWidth="1"/>
    <col min="4617" max="4617" width="8" style="1" customWidth="1"/>
    <col min="4618" max="4618" width="11.28515625" style="1" customWidth="1"/>
    <col min="4619" max="4619" width="6.42578125" style="1" customWidth="1"/>
    <col min="4620" max="4620" width="8.42578125" style="1" customWidth="1"/>
    <col min="4621" max="4621" width="6.85546875" style="1" customWidth="1"/>
    <col min="4622" max="4864" width="11.42578125" style="1"/>
    <col min="4865" max="4865" width="2.85546875" style="1" customWidth="1"/>
    <col min="4866" max="4866" width="22.85546875" style="1" customWidth="1"/>
    <col min="4867" max="4867" width="11.42578125" style="1"/>
    <col min="4868" max="4868" width="7.140625" style="1" customWidth="1"/>
    <col min="4869" max="4869" width="8.85546875" style="1" customWidth="1"/>
    <col min="4870" max="4871" width="9.85546875" style="1" customWidth="1"/>
    <col min="4872" max="4872" width="9.42578125" style="1" customWidth="1"/>
    <col min="4873" max="4873" width="8" style="1" customWidth="1"/>
    <col min="4874" max="4874" width="11.28515625" style="1" customWidth="1"/>
    <col min="4875" max="4875" width="6.42578125" style="1" customWidth="1"/>
    <col min="4876" max="4876" width="8.42578125" style="1" customWidth="1"/>
    <col min="4877" max="4877" width="6.85546875" style="1" customWidth="1"/>
    <col min="4878" max="5120" width="11.42578125" style="1"/>
    <col min="5121" max="5121" width="2.85546875" style="1" customWidth="1"/>
    <col min="5122" max="5122" width="22.85546875" style="1" customWidth="1"/>
    <col min="5123" max="5123" width="11.42578125" style="1"/>
    <col min="5124" max="5124" width="7.140625" style="1" customWidth="1"/>
    <col min="5125" max="5125" width="8.85546875" style="1" customWidth="1"/>
    <col min="5126" max="5127" width="9.85546875" style="1" customWidth="1"/>
    <col min="5128" max="5128" width="9.42578125" style="1" customWidth="1"/>
    <col min="5129" max="5129" width="8" style="1" customWidth="1"/>
    <col min="5130" max="5130" width="11.28515625" style="1" customWidth="1"/>
    <col min="5131" max="5131" width="6.42578125" style="1" customWidth="1"/>
    <col min="5132" max="5132" width="8.42578125" style="1" customWidth="1"/>
    <col min="5133" max="5133" width="6.85546875" style="1" customWidth="1"/>
    <col min="5134" max="5376" width="11.42578125" style="1"/>
    <col min="5377" max="5377" width="2.85546875" style="1" customWidth="1"/>
    <col min="5378" max="5378" width="22.85546875" style="1" customWidth="1"/>
    <col min="5379" max="5379" width="11.42578125" style="1"/>
    <col min="5380" max="5380" width="7.140625" style="1" customWidth="1"/>
    <col min="5381" max="5381" width="8.85546875" style="1" customWidth="1"/>
    <col min="5382" max="5383" width="9.85546875" style="1" customWidth="1"/>
    <col min="5384" max="5384" width="9.42578125" style="1" customWidth="1"/>
    <col min="5385" max="5385" width="8" style="1" customWidth="1"/>
    <col min="5386" max="5386" width="11.28515625" style="1" customWidth="1"/>
    <col min="5387" max="5387" width="6.42578125" style="1" customWidth="1"/>
    <col min="5388" max="5388" width="8.42578125" style="1" customWidth="1"/>
    <col min="5389" max="5389" width="6.85546875" style="1" customWidth="1"/>
    <col min="5390" max="5632" width="11.42578125" style="1"/>
    <col min="5633" max="5633" width="2.85546875" style="1" customWidth="1"/>
    <col min="5634" max="5634" width="22.85546875" style="1" customWidth="1"/>
    <col min="5635" max="5635" width="11.42578125" style="1"/>
    <col min="5636" max="5636" width="7.140625" style="1" customWidth="1"/>
    <col min="5637" max="5637" width="8.85546875" style="1" customWidth="1"/>
    <col min="5638" max="5639" width="9.85546875" style="1" customWidth="1"/>
    <col min="5640" max="5640" width="9.42578125" style="1" customWidth="1"/>
    <col min="5641" max="5641" width="8" style="1" customWidth="1"/>
    <col min="5642" max="5642" width="11.28515625" style="1" customWidth="1"/>
    <col min="5643" max="5643" width="6.42578125" style="1" customWidth="1"/>
    <col min="5644" max="5644" width="8.42578125" style="1" customWidth="1"/>
    <col min="5645" max="5645" width="6.85546875" style="1" customWidth="1"/>
    <col min="5646" max="5888" width="11.42578125" style="1"/>
    <col min="5889" max="5889" width="2.85546875" style="1" customWidth="1"/>
    <col min="5890" max="5890" width="22.85546875" style="1" customWidth="1"/>
    <col min="5891" max="5891" width="11.42578125" style="1"/>
    <col min="5892" max="5892" width="7.140625" style="1" customWidth="1"/>
    <col min="5893" max="5893" width="8.85546875" style="1" customWidth="1"/>
    <col min="5894" max="5895" width="9.85546875" style="1" customWidth="1"/>
    <col min="5896" max="5896" width="9.42578125" style="1" customWidth="1"/>
    <col min="5897" max="5897" width="8" style="1" customWidth="1"/>
    <col min="5898" max="5898" width="11.28515625" style="1" customWidth="1"/>
    <col min="5899" max="5899" width="6.42578125" style="1" customWidth="1"/>
    <col min="5900" max="5900" width="8.42578125" style="1" customWidth="1"/>
    <col min="5901" max="5901" width="6.85546875" style="1" customWidth="1"/>
    <col min="5902" max="6144" width="11.42578125" style="1"/>
    <col min="6145" max="6145" width="2.85546875" style="1" customWidth="1"/>
    <col min="6146" max="6146" width="22.85546875" style="1" customWidth="1"/>
    <col min="6147" max="6147" width="11.42578125" style="1"/>
    <col min="6148" max="6148" width="7.140625" style="1" customWidth="1"/>
    <col min="6149" max="6149" width="8.85546875" style="1" customWidth="1"/>
    <col min="6150" max="6151" width="9.85546875" style="1" customWidth="1"/>
    <col min="6152" max="6152" width="9.42578125" style="1" customWidth="1"/>
    <col min="6153" max="6153" width="8" style="1" customWidth="1"/>
    <col min="6154" max="6154" width="11.28515625" style="1" customWidth="1"/>
    <col min="6155" max="6155" width="6.42578125" style="1" customWidth="1"/>
    <col min="6156" max="6156" width="8.42578125" style="1" customWidth="1"/>
    <col min="6157" max="6157" width="6.85546875" style="1" customWidth="1"/>
    <col min="6158" max="6400" width="11.42578125" style="1"/>
    <col min="6401" max="6401" width="2.85546875" style="1" customWidth="1"/>
    <col min="6402" max="6402" width="22.85546875" style="1" customWidth="1"/>
    <col min="6403" max="6403" width="11.42578125" style="1"/>
    <col min="6404" max="6404" width="7.140625" style="1" customWidth="1"/>
    <col min="6405" max="6405" width="8.85546875" style="1" customWidth="1"/>
    <col min="6406" max="6407" width="9.85546875" style="1" customWidth="1"/>
    <col min="6408" max="6408" width="9.42578125" style="1" customWidth="1"/>
    <col min="6409" max="6409" width="8" style="1" customWidth="1"/>
    <col min="6410" max="6410" width="11.28515625" style="1" customWidth="1"/>
    <col min="6411" max="6411" width="6.42578125" style="1" customWidth="1"/>
    <col min="6412" max="6412" width="8.42578125" style="1" customWidth="1"/>
    <col min="6413" max="6413" width="6.85546875" style="1" customWidth="1"/>
    <col min="6414" max="6656" width="11.42578125" style="1"/>
    <col min="6657" max="6657" width="2.85546875" style="1" customWidth="1"/>
    <col min="6658" max="6658" width="22.85546875" style="1" customWidth="1"/>
    <col min="6659" max="6659" width="11.42578125" style="1"/>
    <col min="6660" max="6660" width="7.140625" style="1" customWidth="1"/>
    <col min="6661" max="6661" width="8.85546875" style="1" customWidth="1"/>
    <col min="6662" max="6663" width="9.85546875" style="1" customWidth="1"/>
    <col min="6664" max="6664" width="9.42578125" style="1" customWidth="1"/>
    <col min="6665" max="6665" width="8" style="1" customWidth="1"/>
    <col min="6666" max="6666" width="11.28515625" style="1" customWidth="1"/>
    <col min="6667" max="6667" width="6.42578125" style="1" customWidth="1"/>
    <col min="6668" max="6668" width="8.42578125" style="1" customWidth="1"/>
    <col min="6669" max="6669" width="6.85546875" style="1" customWidth="1"/>
    <col min="6670" max="6912" width="11.42578125" style="1"/>
    <col min="6913" max="6913" width="2.85546875" style="1" customWidth="1"/>
    <col min="6914" max="6914" width="22.85546875" style="1" customWidth="1"/>
    <col min="6915" max="6915" width="11.42578125" style="1"/>
    <col min="6916" max="6916" width="7.140625" style="1" customWidth="1"/>
    <col min="6917" max="6917" width="8.85546875" style="1" customWidth="1"/>
    <col min="6918" max="6919" width="9.85546875" style="1" customWidth="1"/>
    <col min="6920" max="6920" width="9.42578125" style="1" customWidth="1"/>
    <col min="6921" max="6921" width="8" style="1" customWidth="1"/>
    <col min="6922" max="6922" width="11.28515625" style="1" customWidth="1"/>
    <col min="6923" max="6923" width="6.42578125" style="1" customWidth="1"/>
    <col min="6924" max="6924" width="8.42578125" style="1" customWidth="1"/>
    <col min="6925" max="6925" width="6.85546875" style="1" customWidth="1"/>
    <col min="6926" max="7168" width="11.42578125" style="1"/>
    <col min="7169" max="7169" width="2.85546875" style="1" customWidth="1"/>
    <col min="7170" max="7170" width="22.85546875" style="1" customWidth="1"/>
    <col min="7171" max="7171" width="11.42578125" style="1"/>
    <col min="7172" max="7172" width="7.140625" style="1" customWidth="1"/>
    <col min="7173" max="7173" width="8.85546875" style="1" customWidth="1"/>
    <col min="7174" max="7175" width="9.85546875" style="1" customWidth="1"/>
    <col min="7176" max="7176" width="9.42578125" style="1" customWidth="1"/>
    <col min="7177" max="7177" width="8" style="1" customWidth="1"/>
    <col min="7178" max="7178" width="11.28515625" style="1" customWidth="1"/>
    <col min="7179" max="7179" width="6.42578125" style="1" customWidth="1"/>
    <col min="7180" max="7180" width="8.42578125" style="1" customWidth="1"/>
    <col min="7181" max="7181" width="6.85546875" style="1" customWidth="1"/>
    <col min="7182" max="7424" width="11.42578125" style="1"/>
    <col min="7425" max="7425" width="2.85546875" style="1" customWidth="1"/>
    <col min="7426" max="7426" width="22.85546875" style="1" customWidth="1"/>
    <col min="7427" max="7427" width="11.42578125" style="1"/>
    <col min="7428" max="7428" width="7.140625" style="1" customWidth="1"/>
    <col min="7429" max="7429" width="8.85546875" style="1" customWidth="1"/>
    <col min="7430" max="7431" width="9.85546875" style="1" customWidth="1"/>
    <col min="7432" max="7432" width="9.42578125" style="1" customWidth="1"/>
    <col min="7433" max="7433" width="8" style="1" customWidth="1"/>
    <col min="7434" max="7434" width="11.28515625" style="1" customWidth="1"/>
    <col min="7435" max="7435" width="6.42578125" style="1" customWidth="1"/>
    <col min="7436" max="7436" width="8.42578125" style="1" customWidth="1"/>
    <col min="7437" max="7437" width="6.85546875" style="1" customWidth="1"/>
    <col min="7438" max="7680" width="11.42578125" style="1"/>
    <col min="7681" max="7681" width="2.85546875" style="1" customWidth="1"/>
    <col min="7682" max="7682" width="22.85546875" style="1" customWidth="1"/>
    <col min="7683" max="7683" width="11.42578125" style="1"/>
    <col min="7684" max="7684" width="7.140625" style="1" customWidth="1"/>
    <col min="7685" max="7685" width="8.85546875" style="1" customWidth="1"/>
    <col min="7686" max="7687" width="9.85546875" style="1" customWidth="1"/>
    <col min="7688" max="7688" width="9.42578125" style="1" customWidth="1"/>
    <col min="7689" max="7689" width="8" style="1" customWidth="1"/>
    <col min="7690" max="7690" width="11.28515625" style="1" customWidth="1"/>
    <col min="7691" max="7691" width="6.42578125" style="1" customWidth="1"/>
    <col min="7692" max="7692" width="8.42578125" style="1" customWidth="1"/>
    <col min="7693" max="7693" width="6.85546875" style="1" customWidth="1"/>
    <col min="7694" max="7936" width="11.42578125" style="1"/>
    <col min="7937" max="7937" width="2.85546875" style="1" customWidth="1"/>
    <col min="7938" max="7938" width="22.85546875" style="1" customWidth="1"/>
    <col min="7939" max="7939" width="11.42578125" style="1"/>
    <col min="7940" max="7940" width="7.140625" style="1" customWidth="1"/>
    <col min="7941" max="7941" width="8.85546875" style="1" customWidth="1"/>
    <col min="7942" max="7943" width="9.85546875" style="1" customWidth="1"/>
    <col min="7944" max="7944" width="9.42578125" style="1" customWidth="1"/>
    <col min="7945" max="7945" width="8" style="1" customWidth="1"/>
    <col min="7946" max="7946" width="11.28515625" style="1" customWidth="1"/>
    <col min="7947" max="7947" width="6.42578125" style="1" customWidth="1"/>
    <col min="7948" max="7948" width="8.42578125" style="1" customWidth="1"/>
    <col min="7949" max="7949" width="6.85546875" style="1" customWidth="1"/>
    <col min="7950" max="8192" width="11.42578125" style="1"/>
    <col min="8193" max="8193" width="2.85546875" style="1" customWidth="1"/>
    <col min="8194" max="8194" width="22.85546875" style="1" customWidth="1"/>
    <col min="8195" max="8195" width="11.42578125" style="1"/>
    <col min="8196" max="8196" width="7.140625" style="1" customWidth="1"/>
    <col min="8197" max="8197" width="8.85546875" style="1" customWidth="1"/>
    <col min="8198" max="8199" width="9.85546875" style="1" customWidth="1"/>
    <col min="8200" max="8200" width="9.42578125" style="1" customWidth="1"/>
    <col min="8201" max="8201" width="8" style="1" customWidth="1"/>
    <col min="8202" max="8202" width="11.28515625" style="1" customWidth="1"/>
    <col min="8203" max="8203" width="6.42578125" style="1" customWidth="1"/>
    <col min="8204" max="8204" width="8.42578125" style="1" customWidth="1"/>
    <col min="8205" max="8205" width="6.85546875" style="1" customWidth="1"/>
    <col min="8206" max="8448" width="11.42578125" style="1"/>
    <col min="8449" max="8449" width="2.85546875" style="1" customWidth="1"/>
    <col min="8450" max="8450" width="22.85546875" style="1" customWidth="1"/>
    <col min="8451" max="8451" width="11.42578125" style="1"/>
    <col min="8452" max="8452" width="7.140625" style="1" customWidth="1"/>
    <col min="8453" max="8453" width="8.85546875" style="1" customWidth="1"/>
    <col min="8454" max="8455" width="9.85546875" style="1" customWidth="1"/>
    <col min="8456" max="8456" width="9.42578125" style="1" customWidth="1"/>
    <col min="8457" max="8457" width="8" style="1" customWidth="1"/>
    <col min="8458" max="8458" width="11.28515625" style="1" customWidth="1"/>
    <col min="8459" max="8459" width="6.42578125" style="1" customWidth="1"/>
    <col min="8460" max="8460" width="8.42578125" style="1" customWidth="1"/>
    <col min="8461" max="8461" width="6.85546875" style="1" customWidth="1"/>
    <col min="8462" max="8704" width="11.42578125" style="1"/>
    <col min="8705" max="8705" width="2.85546875" style="1" customWidth="1"/>
    <col min="8706" max="8706" width="22.85546875" style="1" customWidth="1"/>
    <col min="8707" max="8707" width="11.42578125" style="1"/>
    <col min="8708" max="8708" width="7.140625" style="1" customWidth="1"/>
    <col min="8709" max="8709" width="8.85546875" style="1" customWidth="1"/>
    <col min="8710" max="8711" width="9.85546875" style="1" customWidth="1"/>
    <col min="8712" max="8712" width="9.42578125" style="1" customWidth="1"/>
    <col min="8713" max="8713" width="8" style="1" customWidth="1"/>
    <col min="8714" max="8714" width="11.28515625" style="1" customWidth="1"/>
    <col min="8715" max="8715" width="6.42578125" style="1" customWidth="1"/>
    <col min="8716" max="8716" width="8.42578125" style="1" customWidth="1"/>
    <col min="8717" max="8717" width="6.85546875" style="1" customWidth="1"/>
    <col min="8718" max="8960" width="11.42578125" style="1"/>
    <col min="8961" max="8961" width="2.85546875" style="1" customWidth="1"/>
    <col min="8962" max="8962" width="22.85546875" style="1" customWidth="1"/>
    <col min="8963" max="8963" width="11.42578125" style="1"/>
    <col min="8964" max="8964" width="7.140625" style="1" customWidth="1"/>
    <col min="8965" max="8965" width="8.85546875" style="1" customWidth="1"/>
    <col min="8966" max="8967" width="9.85546875" style="1" customWidth="1"/>
    <col min="8968" max="8968" width="9.42578125" style="1" customWidth="1"/>
    <col min="8969" max="8969" width="8" style="1" customWidth="1"/>
    <col min="8970" max="8970" width="11.28515625" style="1" customWidth="1"/>
    <col min="8971" max="8971" width="6.42578125" style="1" customWidth="1"/>
    <col min="8972" max="8972" width="8.42578125" style="1" customWidth="1"/>
    <col min="8973" max="8973" width="6.85546875" style="1" customWidth="1"/>
    <col min="8974" max="9216" width="11.42578125" style="1"/>
    <col min="9217" max="9217" width="2.85546875" style="1" customWidth="1"/>
    <col min="9218" max="9218" width="22.85546875" style="1" customWidth="1"/>
    <col min="9219" max="9219" width="11.42578125" style="1"/>
    <col min="9220" max="9220" width="7.140625" style="1" customWidth="1"/>
    <col min="9221" max="9221" width="8.85546875" style="1" customWidth="1"/>
    <col min="9222" max="9223" width="9.85546875" style="1" customWidth="1"/>
    <col min="9224" max="9224" width="9.42578125" style="1" customWidth="1"/>
    <col min="9225" max="9225" width="8" style="1" customWidth="1"/>
    <col min="9226" max="9226" width="11.28515625" style="1" customWidth="1"/>
    <col min="9227" max="9227" width="6.42578125" style="1" customWidth="1"/>
    <col min="9228" max="9228" width="8.42578125" style="1" customWidth="1"/>
    <col min="9229" max="9229" width="6.85546875" style="1" customWidth="1"/>
    <col min="9230" max="9472" width="11.42578125" style="1"/>
    <col min="9473" max="9473" width="2.85546875" style="1" customWidth="1"/>
    <col min="9474" max="9474" width="22.85546875" style="1" customWidth="1"/>
    <col min="9475" max="9475" width="11.42578125" style="1"/>
    <col min="9476" max="9476" width="7.140625" style="1" customWidth="1"/>
    <col min="9477" max="9477" width="8.85546875" style="1" customWidth="1"/>
    <col min="9478" max="9479" width="9.85546875" style="1" customWidth="1"/>
    <col min="9480" max="9480" width="9.42578125" style="1" customWidth="1"/>
    <col min="9481" max="9481" width="8" style="1" customWidth="1"/>
    <col min="9482" max="9482" width="11.28515625" style="1" customWidth="1"/>
    <col min="9483" max="9483" width="6.42578125" style="1" customWidth="1"/>
    <col min="9484" max="9484" width="8.42578125" style="1" customWidth="1"/>
    <col min="9485" max="9485" width="6.85546875" style="1" customWidth="1"/>
    <col min="9486" max="9728" width="11.42578125" style="1"/>
    <col min="9729" max="9729" width="2.85546875" style="1" customWidth="1"/>
    <col min="9730" max="9730" width="22.85546875" style="1" customWidth="1"/>
    <col min="9731" max="9731" width="11.42578125" style="1"/>
    <col min="9732" max="9732" width="7.140625" style="1" customWidth="1"/>
    <col min="9733" max="9733" width="8.85546875" style="1" customWidth="1"/>
    <col min="9734" max="9735" width="9.85546875" style="1" customWidth="1"/>
    <col min="9736" max="9736" width="9.42578125" style="1" customWidth="1"/>
    <col min="9737" max="9737" width="8" style="1" customWidth="1"/>
    <col min="9738" max="9738" width="11.28515625" style="1" customWidth="1"/>
    <col min="9739" max="9739" width="6.42578125" style="1" customWidth="1"/>
    <col min="9740" max="9740" width="8.42578125" style="1" customWidth="1"/>
    <col min="9741" max="9741" width="6.85546875" style="1" customWidth="1"/>
    <col min="9742" max="9984" width="11.42578125" style="1"/>
    <col min="9985" max="9985" width="2.85546875" style="1" customWidth="1"/>
    <col min="9986" max="9986" width="22.85546875" style="1" customWidth="1"/>
    <col min="9987" max="9987" width="11.42578125" style="1"/>
    <col min="9988" max="9988" width="7.140625" style="1" customWidth="1"/>
    <col min="9989" max="9989" width="8.85546875" style="1" customWidth="1"/>
    <col min="9990" max="9991" width="9.85546875" style="1" customWidth="1"/>
    <col min="9992" max="9992" width="9.42578125" style="1" customWidth="1"/>
    <col min="9993" max="9993" width="8" style="1" customWidth="1"/>
    <col min="9994" max="9994" width="11.28515625" style="1" customWidth="1"/>
    <col min="9995" max="9995" width="6.42578125" style="1" customWidth="1"/>
    <col min="9996" max="9996" width="8.42578125" style="1" customWidth="1"/>
    <col min="9997" max="9997" width="6.85546875" style="1" customWidth="1"/>
    <col min="9998" max="10240" width="11.42578125" style="1"/>
    <col min="10241" max="10241" width="2.85546875" style="1" customWidth="1"/>
    <col min="10242" max="10242" width="22.85546875" style="1" customWidth="1"/>
    <col min="10243" max="10243" width="11.42578125" style="1"/>
    <col min="10244" max="10244" width="7.140625" style="1" customWidth="1"/>
    <col min="10245" max="10245" width="8.85546875" style="1" customWidth="1"/>
    <col min="10246" max="10247" width="9.85546875" style="1" customWidth="1"/>
    <col min="10248" max="10248" width="9.42578125" style="1" customWidth="1"/>
    <col min="10249" max="10249" width="8" style="1" customWidth="1"/>
    <col min="10250" max="10250" width="11.28515625" style="1" customWidth="1"/>
    <col min="10251" max="10251" width="6.42578125" style="1" customWidth="1"/>
    <col min="10252" max="10252" width="8.42578125" style="1" customWidth="1"/>
    <col min="10253" max="10253" width="6.85546875" style="1" customWidth="1"/>
    <col min="10254" max="10496" width="11.42578125" style="1"/>
    <col min="10497" max="10497" width="2.85546875" style="1" customWidth="1"/>
    <col min="10498" max="10498" width="22.85546875" style="1" customWidth="1"/>
    <col min="10499" max="10499" width="11.42578125" style="1"/>
    <col min="10500" max="10500" width="7.140625" style="1" customWidth="1"/>
    <col min="10501" max="10501" width="8.85546875" style="1" customWidth="1"/>
    <col min="10502" max="10503" width="9.85546875" style="1" customWidth="1"/>
    <col min="10504" max="10504" width="9.42578125" style="1" customWidth="1"/>
    <col min="10505" max="10505" width="8" style="1" customWidth="1"/>
    <col min="10506" max="10506" width="11.28515625" style="1" customWidth="1"/>
    <col min="10507" max="10507" width="6.42578125" style="1" customWidth="1"/>
    <col min="10508" max="10508" width="8.42578125" style="1" customWidth="1"/>
    <col min="10509" max="10509" width="6.85546875" style="1" customWidth="1"/>
    <col min="10510" max="10752" width="11.42578125" style="1"/>
    <col min="10753" max="10753" width="2.85546875" style="1" customWidth="1"/>
    <col min="10754" max="10754" width="22.85546875" style="1" customWidth="1"/>
    <col min="10755" max="10755" width="11.42578125" style="1"/>
    <col min="10756" max="10756" width="7.140625" style="1" customWidth="1"/>
    <col min="10757" max="10757" width="8.85546875" style="1" customWidth="1"/>
    <col min="10758" max="10759" width="9.85546875" style="1" customWidth="1"/>
    <col min="10760" max="10760" width="9.42578125" style="1" customWidth="1"/>
    <col min="10761" max="10761" width="8" style="1" customWidth="1"/>
    <col min="10762" max="10762" width="11.28515625" style="1" customWidth="1"/>
    <col min="10763" max="10763" width="6.42578125" style="1" customWidth="1"/>
    <col min="10764" max="10764" width="8.42578125" style="1" customWidth="1"/>
    <col min="10765" max="10765" width="6.85546875" style="1" customWidth="1"/>
    <col min="10766" max="11008" width="11.42578125" style="1"/>
    <col min="11009" max="11009" width="2.85546875" style="1" customWidth="1"/>
    <col min="11010" max="11010" width="22.85546875" style="1" customWidth="1"/>
    <col min="11011" max="11011" width="11.42578125" style="1"/>
    <col min="11012" max="11012" width="7.140625" style="1" customWidth="1"/>
    <col min="11013" max="11013" width="8.85546875" style="1" customWidth="1"/>
    <col min="11014" max="11015" width="9.85546875" style="1" customWidth="1"/>
    <col min="11016" max="11016" width="9.42578125" style="1" customWidth="1"/>
    <col min="11017" max="11017" width="8" style="1" customWidth="1"/>
    <col min="11018" max="11018" width="11.28515625" style="1" customWidth="1"/>
    <col min="11019" max="11019" width="6.42578125" style="1" customWidth="1"/>
    <col min="11020" max="11020" width="8.42578125" style="1" customWidth="1"/>
    <col min="11021" max="11021" width="6.85546875" style="1" customWidth="1"/>
    <col min="11022" max="11264" width="11.42578125" style="1"/>
    <col min="11265" max="11265" width="2.85546875" style="1" customWidth="1"/>
    <col min="11266" max="11266" width="22.85546875" style="1" customWidth="1"/>
    <col min="11267" max="11267" width="11.42578125" style="1"/>
    <col min="11268" max="11268" width="7.140625" style="1" customWidth="1"/>
    <col min="11269" max="11269" width="8.85546875" style="1" customWidth="1"/>
    <col min="11270" max="11271" width="9.85546875" style="1" customWidth="1"/>
    <col min="11272" max="11272" width="9.42578125" style="1" customWidth="1"/>
    <col min="11273" max="11273" width="8" style="1" customWidth="1"/>
    <col min="11274" max="11274" width="11.28515625" style="1" customWidth="1"/>
    <col min="11275" max="11275" width="6.42578125" style="1" customWidth="1"/>
    <col min="11276" max="11276" width="8.42578125" style="1" customWidth="1"/>
    <col min="11277" max="11277" width="6.85546875" style="1" customWidth="1"/>
    <col min="11278" max="11520" width="11.42578125" style="1"/>
    <col min="11521" max="11521" width="2.85546875" style="1" customWidth="1"/>
    <col min="11522" max="11522" width="22.85546875" style="1" customWidth="1"/>
    <col min="11523" max="11523" width="11.42578125" style="1"/>
    <col min="11524" max="11524" width="7.140625" style="1" customWidth="1"/>
    <col min="11525" max="11525" width="8.85546875" style="1" customWidth="1"/>
    <col min="11526" max="11527" width="9.85546875" style="1" customWidth="1"/>
    <col min="11528" max="11528" width="9.42578125" style="1" customWidth="1"/>
    <col min="11529" max="11529" width="8" style="1" customWidth="1"/>
    <col min="11530" max="11530" width="11.28515625" style="1" customWidth="1"/>
    <col min="11531" max="11531" width="6.42578125" style="1" customWidth="1"/>
    <col min="11532" max="11532" width="8.42578125" style="1" customWidth="1"/>
    <col min="11533" max="11533" width="6.85546875" style="1" customWidth="1"/>
    <col min="11534" max="11776" width="11.42578125" style="1"/>
    <col min="11777" max="11777" width="2.85546875" style="1" customWidth="1"/>
    <col min="11778" max="11778" width="22.85546875" style="1" customWidth="1"/>
    <col min="11779" max="11779" width="11.42578125" style="1"/>
    <col min="11780" max="11780" width="7.140625" style="1" customWidth="1"/>
    <col min="11781" max="11781" width="8.85546875" style="1" customWidth="1"/>
    <col min="11782" max="11783" width="9.85546875" style="1" customWidth="1"/>
    <col min="11784" max="11784" width="9.42578125" style="1" customWidth="1"/>
    <col min="11785" max="11785" width="8" style="1" customWidth="1"/>
    <col min="11786" max="11786" width="11.28515625" style="1" customWidth="1"/>
    <col min="11787" max="11787" width="6.42578125" style="1" customWidth="1"/>
    <col min="11788" max="11788" width="8.42578125" style="1" customWidth="1"/>
    <col min="11789" max="11789" width="6.85546875" style="1" customWidth="1"/>
    <col min="11790" max="12032" width="11.42578125" style="1"/>
    <col min="12033" max="12033" width="2.85546875" style="1" customWidth="1"/>
    <col min="12034" max="12034" width="22.85546875" style="1" customWidth="1"/>
    <col min="12035" max="12035" width="11.42578125" style="1"/>
    <col min="12036" max="12036" width="7.140625" style="1" customWidth="1"/>
    <col min="12037" max="12037" width="8.85546875" style="1" customWidth="1"/>
    <col min="12038" max="12039" width="9.85546875" style="1" customWidth="1"/>
    <col min="12040" max="12040" width="9.42578125" style="1" customWidth="1"/>
    <col min="12041" max="12041" width="8" style="1" customWidth="1"/>
    <col min="12042" max="12042" width="11.28515625" style="1" customWidth="1"/>
    <col min="12043" max="12043" width="6.42578125" style="1" customWidth="1"/>
    <col min="12044" max="12044" width="8.42578125" style="1" customWidth="1"/>
    <col min="12045" max="12045" width="6.85546875" style="1" customWidth="1"/>
    <col min="12046" max="12288" width="11.42578125" style="1"/>
    <col min="12289" max="12289" width="2.85546875" style="1" customWidth="1"/>
    <col min="12290" max="12290" width="22.85546875" style="1" customWidth="1"/>
    <col min="12291" max="12291" width="11.42578125" style="1"/>
    <col min="12292" max="12292" width="7.140625" style="1" customWidth="1"/>
    <col min="12293" max="12293" width="8.85546875" style="1" customWidth="1"/>
    <col min="12294" max="12295" width="9.85546875" style="1" customWidth="1"/>
    <col min="12296" max="12296" width="9.42578125" style="1" customWidth="1"/>
    <col min="12297" max="12297" width="8" style="1" customWidth="1"/>
    <col min="12298" max="12298" width="11.28515625" style="1" customWidth="1"/>
    <col min="12299" max="12299" width="6.42578125" style="1" customWidth="1"/>
    <col min="12300" max="12300" width="8.42578125" style="1" customWidth="1"/>
    <col min="12301" max="12301" width="6.85546875" style="1" customWidth="1"/>
    <col min="12302" max="12544" width="11.42578125" style="1"/>
    <col min="12545" max="12545" width="2.85546875" style="1" customWidth="1"/>
    <col min="12546" max="12546" width="22.85546875" style="1" customWidth="1"/>
    <col min="12547" max="12547" width="11.42578125" style="1"/>
    <col min="12548" max="12548" width="7.140625" style="1" customWidth="1"/>
    <col min="12549" max="12549" width="8.85546875" style="1" customWidth="1"/>
    <col min="12550" max="12551" width="9.85546875" style="1" customWidth="1"/>
    <col min="12552" max="12552" width="9.42578125" style="1" customWidth="1"/>
    <col min="12553" max="12553" width="8" style="1" customWidth="1"/>
    <col min="12554" max="12554" width="11.28515625" style="1" customWidth="1"/>
    <col min="12555" max="12555" width="6.42578125" style="1" customWidth="1"/>
    <col min="12556" max="12556" width="8.42578125" style="1" customWidth="1"/>
    <col min="12557" max="12557" width="6.85546875" style="1" customWidth="1"/>
    <col min="12558" max="12800" width="11.42578125" style="1"/>
    <col min="12801" max="12801" width="2.85546875" style="1" customWidth="1"/>
    <col min="12802" max="12802" width="22.85546875" style="1" customWidth="1"/>
    <col min="12803" max="12803" width="11.42578125" style="1"/>
    <col min="12804" max="12804" width="7.140625" style="1" customWidth="1"/>
    <col min="12805" max="12805" width="8.85546875" style="1" customWidth="1"/>
    <col min="12806" max="12807" width="9.85546875" style="1" customWidth="1"/>
    <col min="12808" max="12808" width="9.42578125" style="1" customWidth="1"/>
    <col min="12809" max="12809" width="8" style="1" customWidth="1"/>
    <col min="12810" max="12810" width="11.28515625" style="1" customWidth="1"/>
    <col min="12811" max="12811" width="6.42578125" style="1" customWidth="1"/>
    <col min="12812" max="12812" width="8.42578125" style="1" customWidth="1"/>
    <col min="12813" max="12813" width="6.85546875" style="1" customWidth="1"/>
    <col min="12814" max="13056" width="11.42578125" style="1"/>
    <col min="13057" max="13057" width="2.85546875" style="1" customWidth="1"/>
    <col min="13058" max="13058" width="22.85546875" style="1" customWidth="1"/>
    <col min="13059" max="13059" width="11.42578125" style="1"/>
    <col min="13060" max="13060" width="7.140625" style="1" customWidth="1"/>
    <col min="13061" max="13061" width="8.85546875" style="1" customWidth="1"/>
    <col min="13062" max="13063" width="9.85546875" style="1" customWidth="1"/>
    <col min="13064" max="13064" width="9.42578125" style="1" customWidth="1"/>
    <col min="13065" max="13065" width="8" style="1" customWidth="1"/>
    <col min="13066" max="13066" width="11.28515625" style="1" customWidth="1"/>
    <col min="13067" max="13067" width="6.42578125" style="1" customWidth="1"/>
    <col min="13068" max="13068" width="8.42578125" style="1" customWidth="1"/>
    <col min="13069" max="13069" width="6.85546875" style="1" customWidth="1"/>
    <col min="13070" max="13312" width="11.42578125" style="1"/>
    <col min="13313" max="13313" width="2.85546875" style="1" customWidth="1"/>
    <col min="13314" max="13314" width="22.85546875" style="1" customWidth="1"/>
    <col min="13315" max="13315" width="11.42578125" style="1"/>
    <col min="13316" max="13316" width="7.140625" style="1" customWidth="1"/>
    <col min="13317" max="13317" width="8.85546875" style="1" customWidth="1"/>
    <col min="13318" max="13319" width="9.85546875" style="1" customWidth="1"/>
    <col min="13320" max="13320" width="9.42578125" style="1" customWidth="1"/>
    <col min="13321" max="13321" width="8" style="1" customWidth="1"/>
    <col min="13322" max="13322" width="11.28515625" style="1" customWidth="1"/>
    <col min="13323" max="13323" width="6.42578125" style="1" customWidth="1"/>
    <col min="13324" max="13324" width="8.42578125" style="1" customWidth="1"/>
    <col min="13325" max="13325" width="6.85546875" style="1" customWidth="1"/>
    <col min="13326" max="13568" width="11.42578125" style="1"/>
    <col min="13569" max="13569" width="2.85546875" style="1" customWidth="1"/>
    <col min="13570" max="13570" width="22.85546875" style="1" customWidth="1"/>
    <col min="13571" max="13571" width="11.42578125" style="1"/>
    <col min="13572" max="13572" width="7.140625" style="1" customWidth="1"/>
    <col min="13573" max="13573" width="8.85546875" style="1" customWidth="1"/>
    <col min="13574" max="13575" width="9.85546875" style="1" customWidth="1"/>
    <col min="13576" max="13576" width="9.42578125" style="1" customWidth="1"/>
    <col min="13577" max="13577" width="8" style="1" customWidth="1"/>
    <col min="13578" max="13578" width="11.28515625" style="1" customWidth="1"/>
    <col min="13579" max="13579" width="6.42578125" style="1" customWidth="1"/>
    <col min="13580" max="13580" width="8.42578125" style="1" customWidth="1"/>
    <col min="13581" max="13581" width="6.85546875" style="1" customWidth="1"/>
    <col min="13582" max="13824" width="11.42578125" style="1"/>
    <col min="13825" max="13825" width="2.85546875" style="1" customWidth="1"/>
    <col min="13826" max="13826" width="22.85546875" style="1" customWidth="1"/>
    <col min="13827" max="13827" width="11.42578125" style="1"/>
    <col min="13828" max="13828" width="7.140625" style="1" customWidth="1"/>
    <col min="13829" max="13829" width="8.85546875" style="1" customWidth="1"/>
    <col min="13830" max="13831" width="9.85546875" style="1" customWidth="1"/>
    <col min="13832" max="13832" width="9.42578125" style="1" customWidth="1"/>
    <col min="13833" max="13833" width="8" style="1" customWidth="1"/>
    <col min="13834" max="13834" width="11.28515625" style="1" customWidth="1"/>
    <col min="13835" max="13835" width="6.42578125" style="1" customWidth="1"/>
    <col min="13836" max="13836" width="8.42578125" style="1" customWidth="1"/>
    <col min="13837" max="13837" width="6.85546875" style="1" customWidth="1"/>
    <col min="13838" max="14080" width="11.42578125" style="1"/>
    <col min="14081" max="14081" width="2.85546875" style="1" customWidth="1"/>
    <col min="14082" max="14082" width="22.85546875" style="1" customWidth="1"/>
    <col min="14083" max="14083" width="11.42578125" style="1"/>
    <col min="14084" max="14084" width="7.140625" style="1" customWidth="1"/>
    <col min="14085" max="14085" width="8.85546875" style="1" customWidth="1"/>
    <col min="14086" max="14087" width="9.85546875" style="1" customWidth="1"/>
    <col min="14088" max="14088" width="9.42578125" style="1" customWidth="1"/>
    <col min="14089" max="14089" width="8" style="1" customWidth="1"/>
    <col min="14090" max="14090" width="11.28515625" style="1" customWidth="1"/>
    <col min="14091" max="14091" width="6.42578125" style="1" customWidth="1"/>
    <col min="14092" max="14092" width="8.42578125" style="1" customWidth="1"/>
    <col min="14093" max="14093" width="6.85546875" style="1" customWidth="1"/>
    <col min="14094" max="14336" width="11.42578125" style="1"/>
    <col min="14337" max="14337" width="2.85546875" style="1" customWidth="1"/>
    <col min="14338" max="14338" width="22.85546875" style="1" customWidth="1"/>
    <col min="14339" max="14339" width="11.42578125" style="1"/>
    <col min="14340" max="14340" width="7.140625" style="1" customWidth="1"/>
    <col min="14341" max="14341" width="8.85546875" style="1" customWidth="1"/>
    <col min="14342" max="14343" width="9.85546875" style="1" customWidth="1"/>
    <col min="14344" max="14344" width="9.42578125" style="1" customWidth="1"/>
    <col min="14345" max="14345" width="8" style="1" customWidth="1"/>
    <col min="14346" max="14346" width="11.28515625" style="1" customWidth="1"/>
    <col min="14347" max="14347" width="6.42578125" style="1" customWidth="1"/>
    <col min="14348" max="14348" width="8.42578125" style="1" customWidth="1"/>
    <col min="14349" max="14349" width="6.85546875" style="1" customWidth="1"/>
    <col min="14350" max="14592" width="11.42578125" style="1"/>
    <col min="14593" max="14593" width="2.85546875" style="1" customWidth="1"/>
    <col min="14594" max="14594" width="22.85546875" style="1" customWidth="1"/>
    <col min="14595" max="14595" width="11.42578125" style="1"/>
    <col min="14596" max="14596" width="7.140625" style="1" customWidth="1"/>
    <col min="14597" max="14597" width="8.85546875" style="1" customWidth="1"/>
    <col min="14598" max="14599" width="9.85546875" style="1" customWidth="1"/>
    <col min="14600" max="14600" width="9.42578125" style="1" customWidth="1"/>
    <col min="14601" max="14601" width="8" style="1" customWidth="1"/>
    <col min="14602" max="14602" width="11.28515625" style="1" customWidth="1"/>
    <col min="14603" max="14603" width="6.42578125" style="1" customWidth="1"/>
    <col min="14604" max="14604" width="8.42578125" style="1" customWidth="1"/>
    <col min="14605" max="14605" width="6.85546875" style="1" customWidth="1"/>
    <col min="14606" max="14848" width="11.42578125" style="1"/>
    <col min="14849" max="14849" width="2.85546875" style="1" customWidth="1"/>
    <col min="14850" max="14850" width="22.85546875" style="1" customWidth="1"/>
    <col min="14851" max="14851" width="11.42578125" style="1"/>
    <col min="14852" max="14852" width="7.140625" style="1" customWidth="1"/>
    <col min="14853" max="14853" width="8.85546875" style="1" customWidth="1"/>
    <col min="14854" max="14855" width="9.85546875" style="1" customWidth="1"/>
    <col min="14856" max="14856" width="9.42578125" style="1" customWidth="1"/>
    <col min="14857" max="14857" width="8" style="1" customWidth="1"/>
    <col min="14858" max="14858" width="11.28515625" style="1" customWidth="1"/>
    <col min="14859" max="14859" width="6.42578125" style="1" customWidth="1"/>
    <col min="14860" max="14860" width="8.42578125" style="1" customWidth="1"/>
    <col min="14861" max="14861" width="6.85546875" style="1" customWidth="1"/>
    <col min="14862" max="15104" width="11.42578125" style="1"/>
    <col min="15105" max="15105" width="2.85546875" style="1" customWidth="1"/>
    <col min="15106" max="15106" width="22.85546875" style="1" customWidth="1"/>
    <col min="15107" max="15107" width="11.42578125" style="1"/>
    <col min="15108" max="15108" width="7.140625" style="1" customWidth="1"/>
    <col min="15109" max="15109" width="8.85546875" style="1" customWidth="1"/>
    <col min="15110" max="15111" width="9.85546875" style="1" customWidth="1"/>
    <col min="15112" max="15112" width="9.42578125" style="1" customWidth="1"/>
    <col min="15113" max="15113" width="8" style="1" customWidth="1"/>
    <col min="15114" max="15114" width="11.28515625" style="1" customWidth="1"/>
    <col min="15115" max="15115" width="6.42578125" style="1" customWidth="1"/>
    <col min="15116" max="15116" width="8.42578125" style="1" customWidth="1"/>
    <col min="15117" max="15117" width="6.85546875" style="1" customWidth="1"/>
    <col min="15118" max="15360" width="11.42578125" style="1"/>
    <col min="15361" max="15361" width="2.85546875" style="1" customWidth="1"/>
    <col min="15362" max="15362" width="22.85546875" style="1" customWidth="1"/>
    <col min="15363" max="15363" width="11.42578125" style="1"/>
    <col min="15364" max="15364" width="7.140625" style="1" customWidth="1"/>
    <col min="15365" max="15365" width="8.85546875" style="1" customWidth="1"/>
    <col min="15366" max="15367" width="9.85546875" style="1" customWidth="1"/>
    <col min="15368" max="15368" width="9.42578125" style="1" customWidth="1"/>
    <col min="15369" max="15369" width="8" style="1" customWidth="1"/>
    <col min="15370" max="15370" width="11.28515625" style="1" customWidth="1"/>
    <col min="15371" max="15371" width="6.42578125" style="1" customWidth="1"/>
    <col min="15372" max="15372" width="8.42578125" style="1" customWidth="1"/>
    <col min="15373" max="15373" width="6.85546875" style="1" customWidth="1"/>
    <col min="15374" max="15616" width="11.42578125" style="1"/>
    <col min="15617" max="15617" width="2.85546875" style="1" customWidth="1"/>
    <col min="15618" max="15618" width="22.85546875" style="1" customWidth="1"/>
    <col min="15619" max="15619" width="11.42578125" style="1"/>
    <col min="15620" max="15620" width="7.140625" style="1" customWidth="1"/>
    <col min="15621" max="15621" width="8.85546875" style="1" customWidth="1"/>
    <col min="15622" max="15623" width="9.85546875" style="1" customWidth="1"/>
    <col min="15624" max="15624" width="9.42578125" style="1" customWidth="1"/>
    <col min="15625" max="15625" width="8" style="1" customWidth="1"/>
    <col min="15626" max="15626" width="11.28515625" style="1" customWidth="1"/>
    <col min="15627" max="15627" width="6.42578125" style="1" customWidth="1"/>
    <col min="15628" max="15628" width="8.42578125" style="1" customWidth="1"/>
    <col min="15629" max="15629" width="6.85546875" style="1" customWidth="1"/>
    <col min="15630" max="15872" width="11.42578125" style="1"/>
    <col min="15873" max="15873" width="2.85546875" style="1" customWidth="1"/>
    <col min="15874" max="15874" width="22.85546875" style="1" customWidth="1"/>
    <col min="15875" max="15875" width="11.42578125" style="1"/>
    <col min="15876" max="15876" width="7.140625" style="1" customWidth="1"/>
    <col min="15877" max="15877" width="8.85546875" style="1" customWidth="1"/>
    <col min="15878" max="15879" width="9.85546875" style="1" customWidth="1"/>
    <col min="15880" max="15880" width="9.42578125" style="1" customWidth="1"/>
    <col min="15881" max="15881" width="8" style="1" customWidth="1"/>
    <col min="15882" max="15882" width="11.28515625" style="1" customWidth="1"/>
    <col min="15883" max="15883" width="6.42578125" style="1" customWidth="1"/>
    <col min="15884" max="15884" width="8.42578125" style="1" customWidth="1"/>
    <col min="15885" max="15885" width="6.85546875" style="1" customWidth="1"/>
    <col min="15886" max="16128" width="11.42578125" style="1"/>
    <col min="16129" max="16129" width="2.85546875" style="1" customWidth="1"/>
    <col min="16130" max="16130" width="22.85546875" style="1" customWidth="1"/>
    <col min="16131" max="16131" width="11.42578125" style="1"/>
    <col min="16132" max="16132" width="7.140625" style="1" customWidth="1"/>
    <col min="16133" max="16133" width="8.85546875" style="1" customWidth="1"/>
    <col min="16134" max="16135" width="9.85546875" style="1" customWidth="1"/>
    <col min="16136" max="16136" width="9.42578125" style="1" customWidth="1"/>
    <col min="16137" max="16137" width="8" style="1" customWidth="1"/>
    <col min="16138" max="16138" width="11.28515625" style="1" customWidth="1"/>
    <col min="16139" max="16139" width="6.42578125" style="1" customWidth="1"/>
    <col min="16140" max="16140" width="8.42578125" style="1" customWidth="1"/>
    <col min="16141" max="16141" width="6.85546875" style="1" customWidth="1"/>
    <col min="16142" max="16384" width="11.42578125" style="1"/>
  </cols>
  <sheetData>
    <row r="1" spans="2:14" ht="15" x14ac:dyDescent="0.2">
      <c r="B1" s="202" t="s">
        <v>122</v>
      </c>
      <c r="D1" s="87"/>
      <c r="E1" s="87"/>
      <c r="F1" s="87"/>
      <c r="L1" s="87"/>
      <c r="M1" s="87"/>
    </row>
    <row r="2" spans="2:14" x14ac:dyDescent="0.2">
      <c r="B2" s="97"/>
      <c r="C2" s="89" t="s">
        <v>44</v>
      </c>
      <c r="D2" s="99"/>
      <c r="E2" s="98"/>
      <c r="F2" s="203"/>
      <c r="G2" s="92" t="s">
        <v>46</v>
      </c>
      <c r="H2" s="92"/>
      <c r="I2" s="92"/>
      <c r="J2" s="92"/>
      <c r="K2" s="92"/>
      <c r="L2" s="92"/>
      <c r="M2" s="204"/>
      <c r="N2" s="95"/>
    </row>
    <row r="3" spans="2:14" x14ac:dyDescent="0.2">
      <c r="B3" s="96" t="s">
        <v>47</v>
      </c>
      <c r="C3" s="90" t="s">
        <v>48</v>
      </c>
      <c r="D3" s="90" t="s">
        <v>123</v>
      </c>
      <c r="E3" s="90" t="s">
        <v>94</v>
      </c>
      <c r="F3" s="96" t="s">
        <v>51</v>
      </c>
      <c r="G3" s="90" t="s">
        <v>94</v>
      </c>
      <c r="H3" s="90" t="s">
        <v>124</v>
      </c>
      <c r="I3" s="90" t="s">
        <v>94</v>
      </c>
      <c r="J3" s="90" t="s">
        <v>95</v>
      </c>
      <c r="K3" s="90" t="s">
        <v>94</v>
      </c>
      <c r="L3" s="96" t="s">
        <v>125</v>
      </c>
      <c r="M3" s="90" t="s">
        <v>94</v>
      </c>
      <c r="N3" s="95"/>
    </row>
    <row r="4" spans="2:14" x14ac:dyDescent="0.2">
      <c r="B4" s="100"/>
      <c r="C4" s="99" t="s">
        <v>55</v>
      </c>
      <c r="D4" s="99"/>
      <c r="E4" s="99" t="s">
        <v>50</v>
      </c>
      <c r="F4" s="99" t="s">
        <v>57</v>
      </c>
      <c r="G4" s="99" t="s">
        <v>50</v>
      </c>
      <c r="H4" s="99" t="s">
        <v>58</v>
      </c>
      <c r="I4" s="99" t="s">
        <v>50</v>
      </c>
      <c r="J4" s="99" t="s">
        <v>126</v>
      </c>
      <c r="K4" s="99" t="s">
        <v>50</v>
      </c>
      <c r="L4" s="100" t="s">
        <v>127</v>
      </c>
      <c r="M4" s="99" t="s">
        <v>50</v>
      </c>
      <c r="N4" s="95"/>
    </row>
    <row r="5" spans="2:14" x14ac:dyDescent="0.2">
      <c r="B5" s="205" t="s">
        <v>128</v>
      </c>
      <c r="C5" s="206"/>
      <c r="D5" s="207"/>
      <c r="E5" s="207"/>
      <c r="F5" s="183"/>
      <c r="G5" s="183"/>
      <c r="H5" s="183"/>
      <c r="I5" s="183"/>
      <c r="J5" s="183"/>
      <c r="K5" s="183"/>
      <c r="L5" s="183"/>
      <c r="M5" s="208"/>
      <c r="N5" s="95"/>
    </row>
    <row r="6" spans="2:14" x14ac:dyDescent="0.2">
      <c r="B6" s="209" t="s">
        <v>81</v>
      </c>
      <c r="C6" s="119"/>
      <c r="D6" s="207"/>
      <c r="E6" s="207"/>
      <c r="F6" s="183"/>
      <c r="G6" s="183"/>
      <c r="H6" s="183"/>
      <c r="I6" s="183"/>
      <c r="J6" s="183"/>
      <c r="K6" s="183"/>
      <c r="L6" s="183"/>
      <c r="M6" s="210"/>
      <c r="N6" s="95"/>
    </row>
    <row r="7" spans="2:14" x14ac:dyDescent="0.2">
      <c r="B7" s="211" t="s">
        <v>129</v>
      </c>
      <c r="C7" s="212"/>
      <c r="D7" s="213">
        <v>11.7</v>
      </c>
      <c r="E7" s="214">
        <f>(C7*D7)</f>
        <v>0</v>
      </c>
      <c r="F7" s="213">
        <v>0.21079999999999999</v>
      </c>
      <c r="G7" s="214">
        <f>(C7*F7)</f>
        <v>0</v>
      </c>
      <c r="H7" s="213">
        <v>2.1399999999999999E-2</v>
      </c>
      <c r="I7" s="215">
        <f>(C7*H7)</f>
        <v>0</v>
      </c>
      <c r="J7" s="216">
        <v>1.6</v>
      </c>
      <c r="K7" s="215">
        <f>(C7*J7)</f>
        <v>0</v>
      </c>
      <c r="L7" s="212"/>
      <c r="M7" s="208"/>
      <c r="N7" s="95"/>
    </row>
    <row r="8" spans="2:14" x14ac:dyDescent="0.2">
      <c r="B8" s="217" t="s">
        <v>130</v>
      </c>
      <c r="C8" s="145"/>
      <c r="D8" s="160"/>
      <c r="E8" s="147"/>
      <c r="F8" s="160"/>
      <c r="G8" s="147"/>
      <c r="H8" s="160"/>
      <c r="I8" s="218"/>
      <c r="J8" s="219"/>
      <c r="K8" s="218"/>
      <c r="L8" s="145"/>
      <c r="M8" s="210"/>
      <c r="N8" s="95"/>
    </row>
    <row r="9" spans="2:14" x14ac:dyDescent="0.2">
      <c r="B9" s="211" t="s">
        <v>129</v>
      </c>
      <c r="C9" s="212"/>
      <c r="D9" s="213">
        <v>47</v>
      </c>
      <c r="E9" s="214">
        <f>(C9*D9)</f>
        <v>0</v>
      </c>
      <c r="F9" s="213">
        <v>0.21079999999999999</v>
      </c>
      <c r="G9" s="214">
        <f>(C9*F9)</f>
        <v>0</v>
      </c>
      <c r="H9" s="213">
        <v>2.1399999999999999E-2</v>
      </c>
      <c r="I9" s="215">
        <f>(C9*H9)</f>
        <v>0</v>
      </c>
      <c r="J9" s="216">
        <v>1.6</v>
      </c>
      <c r="K9" s="215">
        <f>(C9*J9)</f>
        <v>0</v>
      </c>
      <c r="L9" s="212"/>
      <c r="M9" s="208"/>
      <c r="N9" s="95"/>
    </row>
    <row r="10" spans="2:14" x14ac:dyDescent="0.2">
      <c r="B10" s="217" t="s">
        <v>131</v>
      </c>
      <c r="C10" s="145"/>
      <c r="D10" s="160"/>
      <c r="E10" s="147"/>
      <c r="F10" s="160"/>
      <c r="G10" s="147"/>
      <c r="H10" s="160"/>
      <c r="I10" s="218"/>
      <c r="J10" s="219"/>
      <c r="K10" s="218"/>
      <c r="L10" s="145"/>
      <c r="M10" s="210"/>
      <c r="N10" s="95"/>
    </row>
    <row r="11" spans="2:14" x14ac:dyDescent="0.2">
      <c r="B11" s="205" t="s">
        <v>132</v>
      </c>
      <c r="C11" s="118"/>
      <c r="D11" s="142"/>
      <c r="E11" s="120"/>
      <c r="F11" s="142"/>
      <c r="G11" s="120"/>
      <c r="H11" s="142"/>
      <c r="I11" s="220"/>
      <c r="J11" s="221"/>
      <c r="K11" s="220"/>
      <c r="L11" s="118"/>
      <c r="M11" s="208"/>
      <c r="N11" s="95"/>
    </row>
    <row r="12" spans="2:14" x14ac:dyDescent="0.2">
      <c r="B12" s="209" t="s">
        <v>133</v>
      </c>
      <c r="C12" s="118"/>
      <c r="D12" s="142"/>
      <c r="E12" s="120"/>
      <c r="F12" s="142"/>
      <c r="G12" s="120"/>
      <c r="H12" s="142"/>
      <c r="I12" s="220"/>
      <c r="J12" s="221"/>
      <c r="K12" s="220"/>
      <c r="L12" s="142"/>
      <c r="M12" s="210"/>
      <c r="N12" s="95"/>
    </row>
    <row r="13" spans="2:14" x14ac:dyDescent="0.2">
      <c r="B13" s="222" t="s">
        <v>134</v>
      </c>
      <c r="C13" s="223">
        <v>8</v>
      </c>
      <c r="D13" s="180">
        <v>47</v>
      </c>
      <c r="E13" s="132">
        <f>(C13*D13)</f>
        <v>376</v>
      </c>
      <c r="F13" s="180">
        <v>0.21079999999999999</v>
      </c>
      <c r="G13" s="132">
        <f>(C13*F13)</f>
        <v>1.6863999999999999</v>
      </c>
      <c r="H13" s="180">
        <v>2.1399999999999999E-2</v>
      </c>
      <c r="I13" s="113">
        <f>(C13*H13)</f>
        <v>0.17119999999999999</v>
      </c>
      <c r="J13" s="114">
        <v>1.6</v>
      </c>
      <c r="K13" s="113">
        <f>(C13*J13)</f>
        <v>12.8</v>
      </c>
      <c r="L13" s="180">
        <v>0.02</v>
      </c>
      <c r="M13" s="113">
        <f>(C13*L13)</f>
        <v>0.16</v>
      </c>
      <c r="N13" s="95"/>
    </row>
    <row r="14" spans="2:14" x14ac:dyDescent="0.2">
      <c r="B14" s="205" t="s">
        <v>135</v>
      </c>
      <c r="C14" s="118"/>
      <c r="D14" s="142"/>
      <c r="E14" s="120"/>
      <c r="F14" s="142"/>
      <c r="G14" s="120"/>
      <c r="H14" s="142"/>
      <c r="I14" s="220"/>
      <c r="J14" s="221"/>
      <c r="K14" s="220"/>
      <c r="L14" s="118"/>
      <c r="M14" s="95"/>
      <c r="N14" s="95"/>
    </row>
    <row r="15" spans="2:14" x14ac:dyDescent="0.2">
      <c r="B15" s="209" t="s">
        <v>136</v>
      </c>
      <c r="C15" s="118"/>
      <c r="D15" s="142"/>
      <c r="E15" s="120"/>
      <c r="F15" s="142"/>
      <c r="G15" s="120"/>
      <c r="H15" s="142"/>
      <c r="I15" s="220"/>
      <c r="J15" s="221"/>
      <c r="K15" s="220"/>
      <c r="L15" s="118"/>
      <c r="M15" s="95"/>
      <c r="N15" s="95"/>
    </row>
    <row r="16" spans="2:14" x14ac:dyDescent="0.2">
      <c r="B16" s="211" t="s">
        <v>137</v>
      </c>
      <c r="C16" s="212"/>
      <c r="D16" s="213">
        <v>55</v>
      </c>
      <c r="E16" s="214">
        <f>(C16*D16)</f>
        <v>0</v>
      </c>
      <c r="F16" s="213">
        <v>0.21079999999999999</v>
      </c>
      <c r="G16" s="214">
        <f>(C16*F16)</f>
        <v>0</v>
      </c>
      <c r="H16" s="213">
        <v>2.1399999999999999E-2</v>
      </c>
      <c r="I16" s="215">
        <f>(C16*H16)</f>
        <v>0</v>
      </c>
      <c r="J16" s="216">
        <v>1.6</v>
      </c>
      <c r="K16" s="215">
        <f>(C16*J16)</f>
        <v>0</v>
      </c>
      <c r="L16" s="213">
        <v>0.02</v>
      </c>
      <c r="M16" s="215">
        <f>(C16*L16)</f>
        <v>0</v>
      </c>
      <c r="N16" s="95"/>
    </row>
    <row r="17" spans="2:14" x14ac:dyDescent="0.2">
      <c r="B17" s="217" t="s">
        <v>138</v>
      </c>
      <c r="C17" s="139"/>
      <c r="D17" s="224"/>
      <c r="E17" s="141"/>
      <c r="F17" s="224"/>
      <c r="G17" s="141"/>
      <c r="H17" s="224"/>
      <c r="I17" s="225"/>
      <c r="J17" s="226"/>
      <c r="K17" s="225"/>
      <c r="L17" s="224"/>
      <c r="M17" s="227"/>
      <c r="N17" s="95"/>
    </row>
    <row r="18" spans="2:14" x14ac:dyDescent="0.2">
      <c r="B18" s="228" t="s">
        <v>139</v>
      </c>
      <c r="C18" s="212"/>
      <c r="D18" s="216">
        <v>5.9</v>
      </c>
      <c r="E18" s="229">
        <f>(C18*D18)</f>
        <v>0</v>
      </c>
      <c r="F18" s="216">
        <v>0.46750000000000003</v>
      </c>
      <c r="G18" s="229">
        <f>(C18*F18)</f>
        <v>0</v>
      </c>
      <c r="H18" s="216">
        <v>1.5599999999999999E-2</v>
      </c>
      <c r="I18" s="229">
        <f>(C18*H18)</f>
        <v>0</v>
      </c>
      <c r="J18" s="216"/>
      <c r="K18" s="229"/>
      <c r="L18" s="216">
        <v>0.02</v>
      </c>
      <c r="M18" s="230">
        <f>(C18*L18)</f>
        <v>0</v>
      </c>
      <c r="N18" s="5"/>
    </row>
    <row r="19" spans="2:14" x14ac:dyDescent="0.2">
      <c r="B19" s="231" t="s">
        <v>140</v>
      </c>
      <c r="C19" s="145"/>
      <c r="D19" s="219"/>
      <c r="E19" s="232"/>
      <c r="F19" s="219"/>
      <c r="G19" s="232"/>
      <c r="H19" s="219"/>
      <c r="I19" s="232"/>
      <c r="J19" s="219"/>
      <c r="K19" s="232"/>
      <c r="L19" s="233"/>
      <c r="M19" s="234"/>
      <c r="N19" s="5"/>
    </row>
    <row r="20" spans="2:14" x14ac:dyDescent="0.2">
      <c r="B20" s="222" t="s">
        <v>141</v>
      </c>
      <c r="C20" s="233"/>
      <c r="D20" s="219">
        <v>1</v>
      </c>
      <c r="E20" s="218">
        <f>(C20*D20)</f>
        <v>0</v>
      </c>
      <c r="F20" s="114">
        <v>7.9240000000000005E-2</v>
      </c>
      <c r="G20" s="235">
        <f>(C20*F20)</f>
        <v>0</v>
      </c>
      <c r="H20" s="114">
        <v>2.5999999999999999E-3</v>
      </c>
      <c r="I20" s="113">
        <f>(C20*H20)</f>
        <v>0</v>
      </c>
      <c r="J20" s="114"/>
      <c r="K20" s="113"/>
      <c r="L20" s="114">
        <v>3.3999999999999998E-3</v>
      </c>
      <c r="M20" s="218">
        <f>(C20*L20)</f>
        <v>0</v>
      </c>
      <c r="N20" s="95"/>
    </row>
    <row r="21" spans="2:14" x14ac:dyDescent="0.2">
      <c r="B21" s="205" t="s">
        <v>135</v>
      </c>
      <c r="C21" s="118"/>
      <c r="D21" s="142"/>
      <c r="E21" s="120"/>
      <c r="F21" s="142"/>
      <c r="G21" s="120"/>
      <c r="H21" s="142"/>
      <c r="I21" s="220"/>
      <c r="J21" s="221"/>
      <c r="K21" s="220"/>
      <c r="L21" s="118"/>
      <c r="M21" s="227"/>
      <c r="N21" s="95"/>
    </row>
    <row r="22" spans="2:14" x14ac:dyDescent="0.2">
      <c r="B22" s="209" t="s">
        <v>142</v>
      </c>
      <c r="C22" s="118"/>
      <c r="D22" s="236" t="s">
        <v>58</v>
      </c>
      <c r="E22" s="120"/>
      <c r="F22" s="142"/>
      <c r="G22" s="120"/>
      <c r="H22" s="142"/>
      <c r="I22" s="237"/>
      <c r="J22" s="221"/>
      <c r="K22" s="237"/>
      <c r="L22" s="118"/>
      <c r="M22" s="210"/>
      <c r="N22" s="95"/>
    </row>
    <row r="23" spans="2:14" x14ac:dyDescent="0.2">
      <c r="B23" s="222" t="s">
        <v>143</v>
      </c>
      <c r="C23" s="223"/>
      <c r="D23" s="180">
        <v>7.0000000000000007E-2</v>
      </c>
      <c r="E23" s="132">
        <f>(C23*D23)</f>
        <v>0</v>
      </c>
      <c r="F23" s="180">
        <v>0.42159999999999997</v>
      </c>
      <c r="G23" s="238">
        <f>(C23*F23)</f>
        <v>0</v>
      </c>
      <c r="H23" s="114">
        <v>4.2799999999999998E-2</v>
      </c>
      <c r="I23" s="113">
        <f>(C23*H23)</f>
        <v>0</v>
      </c>
      <c r="J23" s="114">
        <v>3.2</v>
      </c>
      <c r="K23" s="132">
        <f>(C23*J23)</f>
        <v>0</v>
      </c>
      <c r="L23" s="223"/>
      <c r="M23" s="173"/>
      <c r="N23" s="95"/>
    </row>
    <row r="24" spans="2:14" ht="15.75" x14ac:dyDescent="0.25">
      <c r="B24" s="239" t="s">
        <v>144</v>
      </c>
      <c r="C24" s="181"/>
      <c r="D24" s="240"/>
      <c r="E24" s="181"/>
      <c r="F24" s="189"/>
      <c r="G24" s="164">
        <f>G7+G9+G13+G16+G18+G20+G23</f>
        <v>1.6863999999999999</v>
      </c>
      <c r="H24" s="189"/>
      <c r="I24" s="164">
        <f>SUM(I7:I23)</f>
        <v>0.17119999999999999</v>
      </c>
      <c r="J24" s="189"/>
      <c r="K24" s="164">
        <f>SUM(K7:K23)</f>
        <v>12.8</v>
      </c>
      <c r="L24" s="130"/>
      <c r="M24" s="164">
        <f>SUM(M13:M19)</f>
        <v>0.16</v>
      </c>
      <c r="N24" s="95"/>
    </row>
  </sheetData>
  <pageMargins left="0.82" right="0.68" top="1" bottom="1" header="0" footer="0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A1:N18"/>
  <sheetViews>
    <sheetView topLeftCell="B4" workbookViewId="0">
      <selection activeCell="I26" sqref="I26"/>
    </sheetView>
  </sheetViews>
  <sheetFormatPr baseColWidth="10" defaultRowHeight="12.75" x14ac:dyDescent="0.2"/>
  <cols>
    <col min="1" max="1" width="0" style="1" hidden="1" customWidth="1"/>
    <col min="2" max="2" width="23.140625" style="1" customWidth="1"/>
    <col min="3" max="3" width="10.140625" style="1" customWidth="1"/>
    <col min="4" max="5" width="9.140625" style="1" customWidth="1"/>
    <col min="6" max="6" width="9" style="1" customWidth="1"/>
    <col min="7" max="7" width="7.5703125" style="1" customWidth="1"/>
    <col min="8" max="8" width="9" style="1" customWidth="1"/>
    <col min="9" max="9" width="7.85546875" style="1" customWidth="1"/>
    <col min="10" max="10" width="10.5703125" style="1" customWidth="1"/>
    <col min="11" max="11" width="6.5703125" style="1" customWidth="1"/>
    <col min="12" max="12" width="9.42578125" style="1" customWidth="1"/>
    <col min="13" max="13" width="7.28515625" style="1" customWidth="1"/>
    <col min="14" max="256" width="11.42578125" style="1"/>
    <col min="257" max="257" width="0" style="1" hidden="1" customWidth="1"/>
    <col min="258" max="258" width="23.140625" style="1" customWidth="1"/>
    <col min="259" max="259" width="10.140625" style="1" customWidth="1"/>
    <col min="260" max="261" width="9.140625" style="1" customWidth="1"/>
    <col min="262" max="262" width="9" style="1" customWidth="1"/>
    <col min="263" max="263" width="7.5703125" style="1" customWidth="1"/>
    <col min="264" max="264" width="9" style="1" customWidth="1"/>
    <col min="265" max="265" width="7.85546875" style="1" customWidth="1"/>
    <col min="266" max="266" width="10.5703125" style="1" customWidth="1"/>
    <col min="267" max="267" width="6.5703125" style="1" customWidth="1"/>
    <col min="268" max="268" width="9.42578125" style="1" customWidth="1"/>
    <col min="269" max="269" width="7.28515625" style="1" customWidth="1"/>
    <col min="270" max="512" width="11.42578125" style="1"/>
    <col min="513" max="513" width="0" style="1" hidden="1" customWidth="1"/>
    <col min="514" max="514" width="23.140625" style="1" customWidth="1"/>
    <col min="515" max="515" width="10.140625" style="1" customWidth="1"/>
    <col min="516" max="517" width="9.140625" style="1" customWidth="1"/>
    <col min="518" max="518" width="9" style="1" customWidth="1"/>
    <col min="519" max="519" width="7.5703125" style="1" customWidth="1"/>
    <col min="520" max="520" width="9" style="1" customWidth="1"/>
    <col min="521" max="521" width="7.85546875" style="1" customWidth="1"/>
    <col min="522" max="522" width="10.5703125" style="1" customWidth="1"/>
    <col min="523" max="523" width="6.5703125" style="1" customWidth="1"/>
    <col min="524" max="524" width="9.42578125" style="1" customWidth="1"/>
    <col min="525" max="525" width="7.28515625" style="1" customWidth="1"/>
    <col min="526" max="768" width="11.42578125" style="1"/>
    <col min="769" max="769" width="0" style="1" hidden="1" customWidth="1"/>
    <col min="770" max="770" width="23.140625" style="1" customWidth="1"/>
    <col min="771" max="771" width="10.140625" style="1" customWidth="1"/>
    <col min="772" max="773" width="9.140625" style="1" customWidth="1"/>
    <col min="774" max="774" width="9" style="1" customWidth="1"/>
    <col min="775" max="775" width="7.5703125" style="1" customWidth="1"/>
    <col min="776" max="776" width="9" style="1" customWidth="1"/>
    <col min="777" max="777" width="7.85546875" style="1" customWidth="1"/>
    <col min="778" max="778" width="10.5703125" style="1" customWidth="1"/>
    <col min="779" max="779" width="6.5703125" style="1" customWidth="1"/>
    <col min="780" max="780" width="9.42578125" style="1" customWidth="1"/>
    <col min="781" max="781" width="7.28515625" style="1" customWidth="1"/>
    <col min="782" max="1024" width="11.42578125" style="1"/>
    <col min="1025" max="1025" width="0" style="1" hidden="1" customWidth="1"/>
    <col min="1026" max="1026" width="23.140625" style="1" customWidth="1"/>
    <col min="1027" max="1027" width="10.140625" style="1" customWidth="1"/>
    <col min="1028" max="1029" width="9.140625" style="1" customWidth="1"/>
    <col min="1030" max="1030" width="9" style="1" customWidth="1"/>
    <col min="1031" max="1031" width="7.5703125" style="1" customWidth="1"/>
    <col min="1032" max="1032" width="9" style="1" customWidth="1"/>
    <col min="1033" max="1033" width="7.85546875" style="1" customWidth="1"/>
    <col min="1034" max="1034" width="10.5703125" style="1" customWidth="1"/>
    <col min="1035" max="1035" width="6.5703125" style="1" customWidth="1"/>
    <col min="1036" max="1036" width="9.42578125" style="1" customWidth="1"/>
    <col min="1037" max="1037" width="7.28515625" style="1" customWidth="1"/>
    <col min="1038" max="1280" width="11.42578125" style="1"/>
    <col min="1281" max="1281" width="0" style="1" hidden="1" customWidth="1"/>
    <col min="1282" max="1282" width="23.140625" style="1" customWidth="1"/>
    <col min="1283" max="1283" width="10.140625" style="1" customWidth="1"/>
    <col min="1284" max="1285" width="9.140625" style="1" customWidth="1"/>
    <col min="1286" max="1286" width="9" style="1" customWidth="1"/>
    <col min="1287" max="1287" width="7.5703125" style="1" customWidth="1"/>
    <col min="1288" max="1288" width="9" style="1" customWidth="1"/>
    <col min="1289" max="1289" width="7.85546875" style="1" customWidth="1"/>
    <col min="1290" max="1290" width="10.5703125" style="1" customWidth="1"/>
    <col min="1291" max="1291" width="6.5703125" style="1" customWidth="1"/>
    <col min="1292" max="1292" width="9.42578125" style="1" customWidth="1"/>
    <col min="1293" max="1293" width="7.28515625" style="1" customWidth="1"/>
    <col min="1294" max="1536" width="11.42578125" style="1"/>
    <col min="1537" max="1537" width="0" style="1" hidden="1" customWidth="1"/>
    <col min="1538" max="1538" width="23.140625" style="1" customWidth="1"/>
    <col min="1539" max="1539" width="10.140625" style="1" customWidth="1"/>
    <col min="1540" max="1541" width="9.140625" style="1" customWidth="1"/>
    <col min="1542" max="1542" width="9" style="1" customWidth="1"/>
    <col min="1543" max="1543" width="7.5703125" style="1" customWidth="1"/>
    <col min="1544" max="1544" width="9" style="1" customWidth="1"/>
    <col min="1545" max="1545" width="7.85546875" style="1" customWidth="1"/>
    <col min="1546" max="1546" width="10.5703125" style="1" customWidth="1"/>
    <col min="1547" max="1547" width="6.5703125" style="1" customWidth="1"/>
    <col min="1548" max="1548" width="9.42578125" style="1" customWidth="1"/>
    <col min="1549" max="1549" width="7.28515625" style="1" customWidth="1"/>
    <col min="1550" max="1792" width="11.42578125" style="1"/>
    <col min="1793" max="1793" width="0" style="1" hidden="1" customWidth="1"/>
    <col min="1794" max="1794" width="23.140625" style="1" customWidth="1"/>
    <col min="1795" max="1795" width="10.140625" style="1" customWidth="1"/>
    <col min="1796" max="1797" width="9.140625" style="1" customWidth="1"/>
    <col min="1798" max="1798" width="9" style="1" customWidth="1"/>
    <col min="1799" max="1799" width="7.5703125" style="1" customWidth="1"/>
    <col min="1800" max="1800" width="9" style="1" customWidth="1"/>
    <col min="1801" max="1801" width="7.85546875" style="1" customWidth="1"/>
    <col min="1802" max="1802" width="10.5703125" style="1" customWidth="1"/>
    <col min="1803" max="1803" width="6.5703125" style="1" customWidth="1"/>
    <col min="1804" max="1804" width="9.42578125" style="1" customWidth="1"/>
    <col min="1805" max="1805" width="7.28515625" style="1" customWidth="1"/>
    <col min="1806" max="2048" width="11.42578125" style="1"/>
    <col min="2049" max="2049" width="0" style="1" hidden="1" customWidth="1"/>
    <col min="2050" max="2050" width="23.140625" style="1" customWidth="1"/>
    <col min="2051" max="2051" width="10.140625" style="1" customWidth="1"/>
    <col min="2052" max="2053" width="9.140625" style="1" customWidth="1"/>
    <col min="2054" max="2054" width="9" style="1" customWidth="1"/>
    <col min="2055" max="2055" width="7.5703125" style="1" customWidth="1"/>
    <col min="2056" max="2056" width="9" style="1" customWidth="1"/>
    <col min="2057" max="2057" width="7.85546875" style="1" customWidth="1"/>
    <col min="2058" max="2058" width="10.5703125" style="1" customWidth="1"/>
    <col min="2059" max="2059" width="6.5703125" style="1" customWidth="1"/>
    <col min="2060" max="2060" width="9.42578125" style="1" customWidth="1"/>
    <col min="2061" max="2061" width="7.28515625" style="1" customWidth="1"/>
    <col min="2062" max="2304" width="11.42578125" style="1"/>
    <col min="2305" max="2305" width="0" style="1" hidden="1" customWidth="1"/>
    <col min="2306" max="2306" width="23.140625" style="1" customWidth="1"/>
    <col min="2307" max="2307" width="10.140625" style="1" customWidth="1"/>
    <col min="2308" max="2309" width="9.140625" style="1" customWidth="1"/>
    <col min="2310" max="2310" width="9" style="1" customWidth="1"/>
    <col min="2311" max="2311" width="7.5703125" style="1" customWidth="1"/>
    <col min="2312" max="2312" width="9" style="1" customWidth="1"/>
    <col min="2313" max="2313" width="7.85546875" style="1" customWidth="1"/>
    <col min="2314" max="2314" width="10.5703125" style="1" customWidth="1"/>
    <col min="2315" max="2315" width="6.5703125" style="1" customWidth="1"/>
    <col min="2316" max="2316" width="9.42578125" style="1" customWidth="1"/>
    <col min="2317" max="2317" width="7.28515625" style="1" customWidth="1"/>
    <col min="2318" max="2560" width="11.42578125" style="1"/>
    <col min="2561" max="2561" width="0" style="1" hidden="1" customWidth="1"/>
    <col min="2562" max="2562" width="23.140625" style="1" customWidth="1"/>
    <col min="2563" max="2563" width="10.140625" style="1" customWidth="1"/>
    <col min="2564" max="2565" width="9.140625" style="1" customWidth="1"/>
    <col min="2566" max="2566" width="9" style="1" customWidth="1"/>
    <col min="2567" max="2567" width="7.5703125" style="1" customWidth="1"/>
    <col min="2568" max="2568" width="9" style="1" customWidth="1"/>
    <col min="2569" max="2569" width="7.85546875" style="1" customWidth="1"/>
    <col min="2570" max="2570" width="10.5703125" style="1" customWidth="1"/>
    <col min="2571" max="2571" width="6.5703125" style="1" customWidth="1"/>
    <col min="2572" max="2572" width="9.42578125" style="1" customWidth="1"/>
    <col min="2573" max="2573" width="7.28515625" style="1" customWidth="1"/>
    <col min="2574" max="2816" width="11.42578125" style="1"/>
    <col min="2817" max="2817" width="0" style="1" hidden="1" customWidth="1"/>
    <col min="2818" max="2818" width="23.140625" style="1" customWidth="1"/>
    <col min="2819" max="2819" width="10.140625" style="1" customWidth="1"/>
    <col min="2820" max="2821" width="9.140625" style="1" customWidth="1"/>
    <col min="2822" max="2822" width="9" style="1" customWidth="1"/>
    <col min="2823" max="2823" width="7.5703125" style="1" customWidth="1"/>
    <col min="2824" max="2824" width="9" style="1" customWidth="1"/>
    <col min="2825" max="2825" width="7.85546875" style="1" customWidth="1"/>
    <col min="2826" max="2826" width="10.5703125" style="1" customWidth="1"/>
    <col min="2827" max="2827" width="6.5703125" style="1" customWidth="1"/>
    <col min="2828" max="2828" width="9.42578125" style="1" customWidth="1"/>
    <col min="2829" max="2829" width="7.28515625" style="1" customWidth="1"/>
    <col min="2830" max="3072" width="11.42578125" style="1"/>
    <col min="3073" max="3073" width="0" style="1" hidden="1" customWidth="1"/>
    <col min="3074" max="3074" width="23.140625" style="1" customWidth="1"/>
    <col min="3075" max="3075" width="10.140625" style="1" customWidth="1"/>
    <col min="3076" max="3077" width="9.140625" style="1" customWidth="1"/>
    <col min="3078" max="3078" width="9" style="1" customWidth="1"/>
    <col min="3079" max="3079" width="7.5703125" style="1" customWidth="1"/>
    <col min="3080" max="3080" width="9" style="1" customWidth="1"/>
    <col min="3081" max="3081" width="7.85546875" style="1" customWidth="1"/>
    <col min="3082" max="3082" width="10.5703125" style="1" customWidth="1"/>
    <col min="3083" max="3083" width="6.5703125" style="1" customWidth="1"/>
    <col min="3084" max="3084" width="9.42578125" style="1" customWidth="1"/>
    <col min="3085" max="3085" width="7.28515625" style="1" customWidth="1"/>
    <col min="3086" max="3328" width="11.42578125" style="1"/>
    <col min="3329" max="3329" width="0" style="1" hidden="1" customWidth="1"/>
    <col min="3330" max="3330" width="23.140625" style="1" customWidth="1"/>
    <col min="3331" max="3331" width="10.140625" style="1" customWidth="1"/>
    <col min="3332" max="3333" width="9.140625" style="1" customWidth="1"/>
    <col min="3334" max="3334" width="9" style="1" customWidth="1"/>
    <col min="3335" max="3335" width="7.5703125" style="1" customWidth="1"/>
    <col min="3336" max="3336" width="9" style="1" customWidth="1"/>
    <col min="3337" max="3337" width="7.85546875" style="1" customWidth="1"/>
    <col min="3338" max="3338" width="10.5703125" style="1" customWidth="1"/>
    <col min="3339" max="3339" width="6.5703125" style="1" customWidth="1"/>
    <col min="3340" max="3340" width="9.42578125" style="1" customWidth="1"/>
    <col min="3341" max="3341" width="7.28515625" style="1" customWidth="1"/>
    <col min="3342" max="3584" width="11.42578125" style="1"/>
    <col min="3585" max="3585" width="0" style="1" hidden="1" customWidth="1"/>
    <col min="3586" max="3586" width="23.140625" style="1" customWidth="1"/>
    <col min="3587" max="3587" width="10.140625" style="1" customWidth="1"/>
    <col min="3588" max="3589" width="9.140625" style="1" customWidth="1"/>
    <col min="3590" max="3590" width="9" style="1" customWidth="1"/>
    <col min="3591" max="3591" width="7.5703125" style="1" customWidth="1"/>
    <col min="3592" max="3592" width="9" style="1" customWidth="1"/>
    <col min="3593" max="3593" width="7.85546875" style="1" customWidth="1"/>
    <col min="3594" max="3594" width="10.5703125" style="1" customWidth="1"/>
    <col min="3595" max="3595" width="6.5703125" style="1" customWidth="1"/>
    <col min="3596" max="3596" width="9.42578125" style="1" customWidth="1"/>
    <col min="3597" max="3597" width="7.28515625" style="1" customWidth="1"/>
    <col min="3598" max="3840" width="11.42578125" style="1"/>
    <col min="3841" max="3841" width="0" style="1" hidden="1" customWidth="1"/>
    <col min="3842" max="3842" width="23.140625" style="1" customWidth="1"/>
    <col min="3843" max="3843" width="10.140625" style="1" customWidth="1"/>
    <col min="3844" max="3845" width="9.140625" style="1" customWidth="1"/>
    <col min="3846" max="3846" width="9" style="1" customWidth="1"/>
    <col min="3847" max="3847" width="7.5703125" style="1" customWidth="1"/>
    <col min="3848" max="3848" width="9" style="1" customWidth="1"/>
    <col min="3849" max="3849" width="7.85546875" style="1" customWidth="1"/>
    <col min="3850" max="3850" width="10.5703125" style="1" customWidth="1"/>
    <col min="3851" max="3851" width="6.5703125" style="1" customWidth="1"/>
    <col min="3852" max="3852" width="9.42578125" style="1" customWidth="1"/>
    <col min="3853" max="3853" width="7.28515625" style="1" customWidth="1"/>
    <col min="3854" max="4096" width="11.42578125" style="1"/>
    <col min="4097" max="4097" width="0" style="1" hidden="1" customWidth="1"/>
    <col min="4098" max="4098" width="23.140625" style="1" customWidth="1"/>
    <col min="4099" max="4099" width="10.140625" style="1" customWidth="1"/>
    <col min="4100" max="4101" width="9.140625" style="1" customWidth="1"/>
    <col min="4102" max="4102" width="9" style="1" customWidth="1"/>
    <col min="4103" max="4103" width="7.5703125" style="1" customWidth="1"/>
    <col min="4104" max="4104" width="9" style="1" customWidth="1"/>
    <col min="4105" max="4105" width="7.85546875" style="1" customWidth="1"/>
    <col min="4106" max="4106" width="10.5703125" style="1" customWidth="1"/>
    <col min="4107" max="4107" width="6.5703125" style="1" customWidth="1"/>
    <col min="4108" max="4108" width="9.42578125" style="1" customWidth="1"/>
    <col min="4109" max="4109" width="7.28515625" style="1" customWidth="1"/>
    <col min="4110" max="4352" width="11.42578125" style="1"/>
    <col min="4353" max="4353" width="0" style="1" hidden="1" customWidth="1"/>
    <col min="4354" max="4354" width="23.140625" style="1" customWidth="1"/>
    <col min="4355" max="4355" width="10.140625" style="1" customWidth="1"/>
    <col min="4356" max="4357" width="9.140625" style="1" customWidth="1"/>
    <col min="4358" max="4358" width="9" style="1" customWidth="1"/>
    <col min="4359" max="4359" width="7.5703125" style="1" customWidth="1"/>
    <col min="4360" max="4360" width="9" style="1" customWidth="1"/>
    <col min="4361" max="4361" width="7.85546875" style="1" customWidth="1"/>
    <col min="4362" max="4362" width="10.5703125" style="1" customWidth="1"/>
    <col min="4363" max="4363" width="6.5703125" style="1" customWidth="1"/>
    <col min="4364" max="4364" width="9.42578125" style="1" customWidth="1"/>
    <col min="4365" max="4365" width="7.28515625" style="1" customWidth="1"/>
    <col min="4366" max="4608" width="11.42578125" style="1"/>
    <col min="4609" max="4609" width="0" style="1" hidden="1" customWidth="1"/>
    <col min="4610" max="4610" width="23.140625" style="1" customWidth="1"/>
    <col min="4611" max="4611" width="10.140625" style="1" customWidth="1"/>
    <col min="4612" max="4613" width="9.140625" style="1" customWidth="1"/>
    <col min="4614" max="4614" width="9" style="1" customWidth="1"/>
    <col min="4615" max="4615" width="7.5703125" style="1" customWidth="1"/>
    <col min="4616" max="4616" width="9" style="1" customWidth="1"/>
    <col min="4617" max="4617" width="7.85546875" style="1" customWidth="1"/>
    <col min="4618" max="4618" width="10.5703125" style="1" customWidth="1"/>
    <col min="4619" max="4619" width="6.5703125" style="1" customWidth="1"/>
    <col min="4620" max="4620" width="9.42578125" style="1" customWidth="1"/>
    <col min="4621" max="4621" width="7.28515625" style="1" customWidth="1"/>
    <col min="4622" max="4864" width="11.42578125" style="1"/>
    <col min="4865" max="4865" width="0" style="1" hidden="1" customWidth="1"/>
    <col min="4866" max="4866" width="23.140625" style="1" customWidth="1"/>
    <col min="4867" max="4867" width="10.140625" style="1" customWidth="1"/>
    <col min="4868" max="4869" width="9.140625" style="1" customWidth="1"/>
    <col min="4870" max="4870" width="9" style="1" customWidth="1"/>
    <col min="4871" max="4871" width="7.5703125" style="1" customWidth="1"/>
    <col min="4872" max="4872" width="9" style="1" customWidth="1"/>
    <col min="4873" max="4873" width="7.85546875" style="1" customWidth="1"/>
    <col min="4874" max="4874" width="10.5703125" style="1" customWidth="1"/>
    <col min="4875" max="4875" width="6.5703125" style="1" customWidth="1"/>
    <col min="4876" max="4876" width="9.42578125" style="1" customWidth="1"/>
    <col min="4877" max="4877" width="7.28515625" style="1" customWidth="1"/>
    <col min="4878" max="5120" width="11.42578125" style="1"/>
    <col min="5121" max="5121" width="0" style="1" hidden="1" customWidth="1"/>
    <col min="5122" max="5122" width="23.140625" style="1" customWidth="1"/>
    <col min="5123" max="5123" width="10.140625" style="1" customWidth="1"/>
    <col min="5124" max="5125" width="9.140625" style="1" customWidth="1"/>
    <col min="5126" max="5126" width="9" style="1" customWidth="1"/>
    <col min="5127" max="5127" width="7.5703125" style="1" customWidth="1"/>
    <col min="5128" max="5128" width="9" style="1" customWidth="1"/>
    <col min="5129" max="5129" width="7.85546875" style="1" customWidth="1"/>
    <col min="5130" max="5130" width="10.5703125" style="1" customWidth="1"/>
    <col min="5131" max="5131" width="6.5703125" style="1" customWidth="1"/>
    <col min="5132" max="5132" width="9.42578125" style="1" customWidth="1"/>
    <col min="5133" max="5133" width="7.28515625" style="1" customWidth="1"/>
    <col min="5134" max="5376" width="11.42578125" style="1"/>
    <col min="5377" max="5377" width="0" style="1" hidden="1" customWidth="1"/>
    <col min="5378" max="5378" width="23.140625" style="1" customWidth="1"/>
    <col min="5379" max="5379" width="10.140625" style="1" customWidth="1"/>
    <col min="5380" max="5381" width="9.140625" style="1" customWidth="1"/>
    <col min="5382" max="5382" width="9" style="1" customWidth="1"/>
    <col min="5383" max="5383" width="7.5703125" style="1" customWidth="1"/>
    <col min="5384" max="5384" width="9" style="1" customWidth="1"/>
    <col min="5385" max="5385" width="7.85546875" style="1" customWidth="1"/>
    <col min="5386" max="5386" width="10.5703125" style="1" customWidth="1"/>
    <col min="5387" max="5387" width="6.5703125" style="1" customWidth="1"/>
    <col min="5388" max="5388" width="9.42578125" style="1" customWidth="1"/>
    <col min="5389" max="5389" width="7.28515625" style="1" customWidth="1"/>
    <col min="5390" max="5632" width="11.42578125" style="1"/>
    <col min="5633" max="5633" width="0" style="1" hidden="1" customWidth="1"/>
    <col min="5634" max="5634" width="23.140625" style="1" customWidth="1"/>
    <col min="5635" max="5635" width="10.140625" style="1" customWidth="1"/>
    <col min="5636" max="5637" width="9.140625" style="1" customWidth="1"/>
    <col min="5638" max="5638" width="9" style="1" customWidth="1"/>
    <col min="5639" max="5639" width="7.5703125" style="1" customWidth="1"/>
    <col min="5640" max="5640" width="9" style="1" customWidth="1"/>
    <col min="5641" max="5641" width="7.85546875" style="1" customWidth="1"/>
    <col min="5642" max="5642" width="10.5703125" style="1" customWidth="1"/>
    <col min="5643" max="5643" width="6.5703125" style="1" customWidth="1"/>
    <col min="5644" max="5644" width="9.42578125" style="1" customWidth="1"/>
    <col min="5645" max="5645" width="7.28515625" style="1" customWidth="1"/>
    <col min="5646" max="5888" width="11.42578125" style="1"/>
    <col min="5889" max="5889" width="0" style="1" hidden="1" customWidth="1"/>
    <col min="5890" max="5890" width="23.140625" style="1" customWidth="1"/>
    <col min="5891" max="5891" width="10.140625" style="1" customWidth="1"/>
    <col min="5892" max="5893" width="9.140625" style="1" customWidth="1"/>
    <col min="5894" max="5894" width="9" style="1" customWidth="1"/>
    <col min="5895" max="5895" width="7.5703125" style="1" customWidth="1"/>
    <col min="5896" max="5896" width="9" style="1" customWidth="1"/>
    <col min="5897" max="5897" width="7.85546875" style="1" customWidth="1"/>
    <col min="5898" max="5898" width="10.5703125" style="1" customWidth="1"/>
    <col min="5899" max="5899" width="6.5703125" style="1" customWidth="1"/>
    <col min="5900" max="5900" width="9.42578125" style="1" customWidth="1"/>
    <col min="5901" max="5901" width="7.28515625" style="1" customWidth="1"/>
    <col min="5902" max="6144" width="11.42578125" style="1"/>
    <col min="6145" max="6145" width="0" style="1" hidden="1" customWidth="1"/>
    <col min="6146" max="6146" width="23.140625" style="1" customWidth="1"/>
    <col min="6147" max="6147" width="10.140625" style="1" customWidth="1"/>
    <col min="6148" max="6149" width="9.140625" style="1" customWidth="1"/>
    <col min="6150" max="6150" width="9" style="1" customWidth="1"/>
    <col min="6151" max="6151" width="7.5703125" style="1" customWidth="1"/>
    <col min="6152" max="6152" width="9" style="1" customWidth="1"/>
    <col min="6153" max="6153" width="7.85546875" style="1" customWidth="1"/>
    <col min="6154" max="6154" width="10.5703125" style="1" customWidth="1"/>
    <col min="6155" max="6155" width="6.5703125" style="1" customWidth="1"/>
    <col min="6156" max="6156" width="9.42578125" style="1" customWidth="1"/>
    <col min="6157" max="6157" width="7.28515625" style="1" customWidth="1"/>
    <col min="6158" max="6400" width="11.42578125" style="1"/>
    <col min="6401" max="6401" width="0" style="1" hidden="1" customWidth="1"/>
    <col min="6402" max="6402" width="23.140625" style="1" customWidth="1"/>
    <col min="6403" max="6403" width="10.140625" style="1" customWidth="1"/>
    <col min="6404" max="6405" width="9.140625" style="1" customWidth="1"/>
    <col min="6406" max="6406" width="9" style="1" customWidth="1"/>
    <col min="6407" max="6407" width="7.5703125" style="1" customWidth="1"/>
    <col min="6408" max="6408" width="9" style="1" customWidth="1"/>
    <col min="6409" max="6409" width="7.85546875" style="1" customWidth="1"/>
    <col min="6410" max="6410" width="10.5703125" style="1" customWidth="1"/>
    <col min="6411" max="6411" width="6.5703125" style="1" customWidth="1"/>
    <col min="6412" max="6412" width="9.42578125" style="1" customWidth="1"/>
    <col min="6413" max="6413" width="7.28515625" style="1" customWidth="1"/>
    <col min="6414" max="6656" width="11.42578125" style="1"/>
    <col min="6657" max="6657" width="0" style="1" hidden="1" customWidth="1"/>
    <col min="6658" max="6658" width="23.140625" style="1" customWidth="1"/>
    <col min="6659" max="6659" width="10.140625" style="1" customWidth="1"/>
    <col min="6660" max="6661" width="9.140625" style="1" customWidth="1"/>
    <col min="6662" max="6662" width="9" style="1" customWidth="1"/>
    <col min="6663" max="6663" width="7.5703125" style="1" customWidth="1"/>
    <col min="6664" max="6664" width="9" style="1" customWidth="1"/>
    <col min="6665" max="6665" width="7.85546875" style="1" customWidth="1"/>
    <col min="6666" max="6666" width="10.5703125" style="1" customWidth="1"/>
    <col min="6667" max="6667" width="6.5703125" style="1" customWidth="1"/>
    <col min="6668" max="6668" width="9.42578125" style="1" customWidth="1"/>
    <col min="6669" max="6669" width="7.28515625" style="1" customWidth="1"/>
    <col min="6670" max="6912" width="11.42578125" style="1"/>
    <col min="6913" max="6913" width="0" style="1" hidden="1" customWidth="1"/>
    <col min="6914" max="6914" width="23.140625" style="1" customWidth="1"/>
    <col min="6915" max="6915" width="10.140625" style="1" customWidth="1"/>
    <col min="6916" max="6917" width="9.140625" style="1" customWidth="1"/>
    <col min="6918" max="6918" width="9" style="1" customWidth="1"/>
    <col min="6919" max="6919" width="7.5703125" style="1" customWidth="1"/>
    <col min="6920" max="6920" width="9" style="1" customWidth="1"/>
    <col min="6921" max="6921" width="7.85546875" style="1" customWidth="1"/>
    <col min="6922" max="6922" width="10.5703125" style="1" customWidth="1"/>
    <col min="6923" max="6923" width="6.5703125" style="1" customWidth="1"/>
    <col min="6924" max="6924" width="9.42578125" style="1" customWidth="1"/>
    <col min="6925" max="6925" width="7.28515625" style="1" customWidth="1"/>
    <col min="6926" max="7168" width="11.42578125" style="1"/>
    <col min="7169" max="7169" width="0" style="1" hidden="1" customWidth="1"/>
    <col min="7170" max="7170" width="23.140625" style="1" customWidth="1"/>
    <col min="7171" max="7171" width="10.140625" style="1" customWidth="1"/>
    <col min="7172" max="7173" width="9.140625" style="1" customWidth="1"/>
    <col min="7174" max="7174" width="9" style="1" customWidth="1"/>
    <col min="7175" max="7175" width="7.5703125" style="1" customWidth="1"/>
    <col min="7176" max="7176" width="9" style="1" customWidth="1"/>
    <col min="7177" max="7177" width="7.85546875" style="1" customWidth="1"/>
    <col min="7178" max="7178" width="10.5703125" style="1" customWidth="1"/>
    <col min="7179" max="7179" width="6.5703125" style="1" customWidth="1"/>
    <col min="7180" max="7180" width="9.42578125" style="1" customWidth="1"/>
    <col min="7181" max="7181" width="7.28515625" style="1" customWidth="1"/>
    <col min="7182" max="7424" width="11.42578125" style="1"/>
    <col min="7425" max="7425" width="0" style="1" hidden="1" customWidth="1"/>
    <col min="7426" max="7426" width="23.140625" style="1" customWidth="1"/>
    <col min="7427" max="7427" width="10.140625" style="1" customWidth="1"/>
    <col min="7428" max="7429" width="9.140625" style="1" customWidth="1"/>
    <col min="7430" max="7430" width="9" style="1" customWidth="1"/>
    <col min="7431" max="7431" width="7.5703125" style="1" customWidth="1"/>
    <col min="7432" max="7432" width="9" style="1" customWidth="1"/>
    <col min="7433" max="7433" width="7.85546875" style="1" customWidth="1"/>
    <col min="7434" max="7434" width="10.5703125" style="1" customWidth="1"/>
    <col min="7435" max="7435" width="6.5703125" style="1" customWidth="1"/>
    <col min="7436" max="7436" width="9.42578125" style="1" customWidth="1"/>
    <col min="7437" max="7437" width="7.28515625" style="1" customWidth="1"/>
    <col min="7438" max="7680" width="11.42578125" style="1"/>
    <col min="7681" max="7681" width="0" style="1" hidden="1" customWidth="1"/>
    <col min="7682" max="7682" width="23.140625" style="1" customWidth="1"/>
    <col min="7683" max="7683" width="10.140625" style="1" customWidth="1"/>
    <col min="7684" max="7685" width="9.140625" style="1" customWidth="1"/>
    <col min="7686" max="7686" width="9" style="1" customWidth="1"/>
    <col min="7687" max="7687" width="7.5703125" style="1" customWidth="1"/>
    <col min="7688" max="7688" width="9" style="1" customWidth="1"/>
    <col min="7689" max="7689" width="7.85546875" style="1" customWidth="1"/>
    <col min="7690" max="7690" width="10.5703125" style="1" customWidth="1"/>
    <col min="7691" max="7691" width="6.5703125" style="1" customWidth="1"/>
    <col min="7692" max="7692" width="9.42578125" style="1" customWidth="1"/>
    <col min="7693" max="7693" width="7.28515625" style="1" customWidth="1"/>
    <col min="7694" max="7936" width="11.42578125" style="1"/>
    <col min="7937" max="7937" width="0" style="1" hidden="1" customWidth="1"/>
    <col min="7938" max="7938" width="23.140625" style="1" customWidth="1"/>
    <col min="7939" max="7939" width="10.140625" style="1" customWidth="1"/>
    <col min="7940" max="7941" width="9.140625" style="1" customWidth="1"/>
    <col min="7942" max="7942" width="9" style="1" customWidth="1"/>
    <col min="7943" max="7943" width="7.5703125" style="1" customWidth="1"/>
    <col min="7944" max="7944" width="9" style="1" customWidth="1"/>
    <col min="7945" max="7945" width="7.85546875" style="1" customWidth="1"/>
    <col min="7946" max="7946" width="10.5703125" style="1" customWidth="1"/>
    <col min="7947" max="7947" width="6.5703125" style="1" customWidth="1"/>
    <col min="7948" max="7948" width="9.42578125" style="1" customWidth="1"/>
    <col min="7949" max="7949" width="7.28515625" style="1" customWidth="1"/>
    <col min="7950" max="8192" width="11.42578125" style="1"/>
    <col min="8193" max="8193" width="0" style="1" hidden="1" customWidth="1"/>
    <col min="8194" max="8194" width="23.140625" style="1" customWidth="1"/>
    <col min="8195" max="8195" width="10.140625" style="1" customWidth="1"/>
    <col min="8196" max="8197" width="9.140625" style="1" customWidth="1"/>
    <col min="8198" max="8198" width="9" style="1" customWidth="1"/>
    <col min="8199" max="8199" width="7.5703125" style="1" customWidth="1"/>
    <col min="8200" max="8200" width="9" style="1" customWidth="1"/>
    <col min="8201" max="8201" width="7.85546875" style="1" customWidth="1"/>
    <col min="8202" max="8202" width="10.5703125" style="1" customWidth="1"/>
    <col min="8203" max="8203" width="6.5703125" style="1" customWidth="1"/>
    <col min="8204" max="8204" width="9.42578125" style="1" customWidth="1"/>
    <col min="8205" max="8205" width="7.28515625" style="1" customWidth="1"/>
    <col min="8206" max="8448" width="11.42578125" style="1"/>
    <col min="8449" max="8449" width="0" style="1" hidden="1" customWidth="1"/>
    <col min="8450" max="8450" width="23.140625" style="1" customWidth="1"/>
    <col min="8451" max="8451" width="10.140625" style="1" customWidth="1"/>
    <col min="8452" max="8453" width="9.140625" style="1" customWidth="1"/>
    <col min="8454" max="8454" width="9" style="1" customWidth="1"/>
    <col min="8455" max="8455" width="7.5703125" style="1" customWidth="1"/>
    <col min="8456" max="8456" width="9" style="1" customWidth="1"/>
    <col min="8457" max="8457" width="7.85546875" style="1" customWidth="1"/>
    <col min="8458" max="8458" width="10.5703125" style="1" customWidth="1"/>
    <col min="8459" max="8459" width="6.5703125" style="1" customWidth="1"/>
    <col min="8460" max="8460" width="9.42578125" style="1" customWidth="1"/>
    <col min="8461" max="8461" width="7.28515625" style="1" customWidth="1"/>
    <col min="8462" max="8704" width="11.42578125" style="1"/>
    <col min="8705" max="8705" width="0" style="1" hidden="1" customWidth="1"/>
    <col min="8706" max="8706" width="23.140625" style="1" customWidth="1"/>
    <col min="8707" max="8707" width="10.140625" style="1" customWidth="1"/>
    <col min="8708" max="8709" width="9.140625" style="1" customWidth="1"/>
    <col min="8710" max="8710" width="9" style="1" customWidth="1"/>
    <col min="8711" max="8711" width="7.5703125" style="1" customWidth="1"/>
    <col min="8712" max="8712" width="9" style="1" customWidth="1"/>
    <col min="8713" max="8713" width="7.85546875" style="1" customWidth="1"/>
    <col min="8714" max="8714" width="10.5703125" style="1" customWidth="1"/>
    <col min="8715" max="8715" width="6.5703125" style="1" customWidth="1"/>
    <col min="8716" max="8716" width="9.42578125" style="1" customWidth="1"/>
    <col min="8717" max="8717" width="7.28515625" style="1" customWidth="1"/>
    <col min="8718" max="8960" width="11.42578125" style="1"/>
    <col min="8961" max="8961" width="0" style="1" hidden="1" customWidth="1"/>
    <col min="8962" max="8962" width="23.140625" style="1" customWidth="1"/>
    <col min="8963" max="8963" width="10.140625" style="1" customWidth="1"/>
    <col min="8964" max="8965" width="9.140625" style="1" customWidth="1"/>
    <col min="8966" max="8966" width="9" style="1" customWidth="1"/>
    <col min="8967" max="8967" width="7.5703125" style="1" customWidth="1"/>
    <col min="8968" max="8968" width="9" style="1" customWidth="1"/>
    <col min="8969" max="8969" width="7.85546875" style="1" customWidth="1"/>
    <col min="8970" max="8970" width="10.5703125" style="1" customWidth="1"/>
    <col min="8971" max="8971" width="6.5703125" style="1" customWidth="1"/>
    <col min="8972" max="8972" width="9.42578125" style="1" customWidth="1"/>
    <col min="8973" max="8973" width="7.28515625" style="1" customWidth="1"/>
    <col min="8974" max="9216" width="11.42578125" style="1"/>
    <col min="9217" max="9217" width="0" style="1" hidden="1" customWidth="1"/>
    <col min="9218" max="9218" width="23.140625" style="1" customWidth="1"/>
    <col min="9219" max="9219" width="10.140625" style="1" customWidth="1"/>
    <col min="9220" max="9221" width="9.140625" style="1" customWidth="1"/>
    <col min="9222" max="9222" width="9" style="1" customWidth="1"/>
    <col min="9223" max="9223" width="7.5703125" style="1" customWidth="1"/>
    <col min="9224" max="9224" width="9" style="1" customWidth="1"/>
    <col min="9225" max="9225" width="7.85546875" style="1" customWidth="1"/>
    <col min="9226" max="9226" width="10.5703125" style="1" customWidth="1"/>
    <col min="9227" max="9227" width="6.5703125" style="1" customWidth="1"/>
    <col min="9228" max="9228" width="9.42578125" style="1" customWidth="1"/>
    <col min="9229" max="9229" width="7.28515625" style="1" customWidth="1"/>
    <col min="9230" max="9472" width="11.42578125" style="1"/>
    <col min="9473" max="9473" width="0" style="1" hidden="1" customWidth="1"/>
    <col min="9474" max="9474" width="23.140625" style="1" customWidth="1"/>
    <col min="9475" max="9475" width="10.140625" style="1" customWidth="1"/>
    <col min="9476" max="9477" width="9.140625" style="1" customWidth="1"/>
    <col min="9478" max="9478" width="9" style="1" customWidth="1"/>
    <col min="9479" max="9479" width="7.5703125" style="1" customWidth="1"/>
    <col min="9480" max="9480" width="9" style="1" customWidth="1"/>
    <col min="9481" max="9481" width="7.85546875" style="1" customWidth="1"/>
    <col min="9482" max="9482" width="10.5703125" style="1" customWidth="1"/>
    <col min="9483" max="9483" width="6.5703125" style="1" customWidth="1"/>
    <col min="9484" max="9484" width="9.42578125" style="1" customWidth="1"/>
    <col min="9485" max="9485" width="7.28515625" style="1" customWidth="1"/>
    <col min="9486" max="9728" width="11.42578125" style="1"/>
    <col min="9729" max="9729" width="0" style="1" hidden="1" customWidth="1"/>
    <col min="9730" max="9730" width="23.140625" style="1" customWidth="1"/>
    <col min="9731" max="9731" width="10.140625" style="1" customWidth="1"/>
    <col min="9732" max="9733" width="9.140625" style="1" customWidth="1"/>
    <col min="9734" max="9734" width="9" style="1" customWidth="1"/>
    <col min="9735" max="9735" width="7.5703125" style="1" customWidth="1"/>
    <col min="9736" max="9736" width="9" style="1" customWidth="1"/>
    <col min="9737" max="9737" width="7.85546875" style="1" customWidth="1"/>
    <col min="9738" max="9738" width="10.5703125" style="1" customWidth="1"/>
    <col min="9739" max="9739" width="6.5703125" style="1" customWidth="1"/>
    <col min="9740" max="9740" width="9.42578125" style="1" customWidth="1"/>
    <col min="9741" max="9741" width="7.28515625" style="1" customWidth="1"/>
    <col min="9742" max="9984" width="11.42578125" style="1"/>
    <col min="9985" max="9985" width="0" style="1" hidden="1" customWidth="1"/>
    <col min="9986" max="9986" width="23.140625" style="1" customWidth="1"/>
    <col min="9987" max="9987" width="10.140625" style="1" customWidth="1"/>
    <col min="9988" max="9989" width="9.140625" style="1" customWidth="1"/>
    <col min="9990" max="9990" width="9" style="1" customWidth="1"/>
    <col min="9991" max="9991" width="7.5703125" style="1" customWidth="1"/>
    <col min="9992" max="9992" width="9" style="1" customWidth="1"/>
    <col min="9993" max="9993" width="7.85546875" style="1" customWidth="1"/>
    <col min="9994" max="9994" width="10.5703125" style="1" customWidth="1"/>
    <col min="9995" max="9995" width="6.5703125" style="1" customWidth="1"/>
    <col min="9996" max="9996" width="9.42578125" style="1" customWidth="1"/>
    <col min="9997" max="9997" width="7.28515625" style="1" customWidth="1"/>
    <col min="9998" max="10240" width="11.42578125" style="1"/>
    <col min="10241" max="10241" width="0" style="1" hidden="1" customWidth="1"/>
    <col min="10242" max="10242" width="23.140625" style="1" customWidth="1"/>
    <col min="10243" max="10243" width="10.140625" style="1" customWidth="1"/>
    <col min="10244" max="10245" width="9.140625" style="1" customWidth="1"/>
    <col min="10246" max="10246" width="9" style="1" customWidth="1"/>
    <col min="10247" max="10247" width="7.5703125" style="1" customWidth="1"/>
    <col min="10248" max="10248" width="9" style="1" customWidth="1"/>
    <col min="10249" max="10249" width="7.85546875" style="1" customWidth="1"/>
    <col min="10250" max="10250" width="10.5703125" style="1" customWidth="1"/>
    <col min="10251" max="10251" width="6.5703125" style="1" customWidth="1"/>
    <col min="10252" max="10252" width="9.42578125" style="1" customWidth="1"/>
    <col min="10253" max="10253" width="7.28515625" style="1" customWidth="1"/>
    <col min="10254" max="10496" width="11.42578125" style="1"/>
    <col min="10497" max="10497" width="0" style="1" hidden="1" customWidth="1"/>
    <col min="10498" max="10498" width="23.140625" style="1" customWidth="1"/>
    <col min="10499" max="10499" width="10.140625" style="1" customWidth="1"/>
    <col min="10500" max="10501" width="9.140625" style="1" customWidth="1"/>
    <col min="10502" max="10502" width="9" style="1" customWidth="1"/>
    <col min="10503" max="10503" width="7.5703125" style="1" customWidth="1"/>
    <col min="10504" max="10504" width="9" style="1" customWidth="1"/>
    <col min="10505" max="10505" width="7.85546875" style="1" customWidth="1"/>
    <col min="10506" max="10506" width="10.5703125" style="1" customWidth="1"/>
    <col min="10507" max="10507" width="6.5703125" style="1" customWidth="1"/>
    <col min="10508" max="10508" width="9.42578125" style="1" customWidth="1"/>
    <col min="10509" max="10509" width="7.28515625" style="1" customWidth="1"/>
    <col min="10510" max="10752" width="11.42578125" style="1"/>
    <col min="10753" max="10753" width="0" style="1" hidden="1" customWidth="1"/>
    <col min="10754" max="10754" width="23.140625" style="1" customWidth="1"/>
    <col min="10755" max="10755" width="10.140625" style="1" customWidth="1"/>
    <col min="10756" max="10757" width="9.140625" style="1" customWidth="1"/>
    <col min="10758" max="10758" width="9" style="1" customWidth="1"/>
    <col min="10759" max="10759" width="7.5703125" style="1" customWidth="1"/>
    <col min="10760" max="10760" width="9" style="1" customWidth="1"/>
    <col min="10761" max="10761" width="7.85546875" style="1" customWidth="1"/>
    <col min="10762" max="10762" width="10.5703125" style="1" customWidth="1"/>
    <col min="10763" max="10763" width="6.5703125" style="1" customWidth="1"/>
    <col min="10764" max="10764" width="9.42578125" style="1" customWidth="1"/>
    <col min="10765" max="10765" width="7.28515625" style="1" customWidth="1"/>
    <col min="10766" max="11008" width="11.42578125" style="1"/>
    <col min="11009" max="11009" width="0" style="1" hidden="1" customWidth="1"/>
    <col min="11010" max="11010" width="23.140625" style="1" customWidth="1"/>
    <col min="11011" max="11011" width="10.140625" style="1" customWidth="1"/>
    <col min="11012" max="11013" width="9.140625" style="1" customWidth="1"/>
    <col min="11014" max="11014" width="9" style="1" customWidth="1"/>
    <col min="11015" max="11015" width="7.5703125" style="1" customWidth="1"/>
    <col min="11016" max="11016" width="9" style="1" customWidth="1"/>
    <col min="11017" max="11017" width="7.85546875" style="1" customWidth="1"/>
    <col min="11018" max="11018" width="10.5703125" style="1" customWidth="1"/>
    <col min="11019" max="11019" width="6.5703125" style="1" customWidth="1"/>
    <col min="11020" max="11020" width="9.42578125" style="1" customWidth="1"/>
    <col min="11021" max="11021" width="7.28515625" style="1" customWidth="1"/>
    <col min="11022" max="11264" width="11.42578125" style="1"/>
    <col min="11265" max="11265" width="0" style="1" hidden="1" customWidth="1"/>
    <col min="11266" max="11266" width="23.140625" style="1" customWidth="1"/>
    <col min="11267" max="11267" width="10.140625" style="1" customWidth="1"/>
    <col min="11268" max="11269" width="9.140625" style="1" customWidth="1"/>
    <col min="11270" max="11270" width="9" style="1" customWidth="1"/>
    <col min="11271" max="11271" width="7.5703125" style="1" customWidth="1"/>
    <col min="11272" max="11272" width="9" style="1" customWidth="1"/>
    <col min="11273" max="11273" width="7.85546875" style="1" customWidth="1"/>
    <col min="11274" max="11274" width="10.5703125" style="1" customWidth="1"/>
    <col min="11275" max="11275" width="6.5703125" style="1" customWidth="1"/>
    <col min="11276" max="11276" width="9.42578125" style="1" customWidth="1"/>
    <col min="11277" max="11277" width="7.28515625" style="1" customWidth="1"/>
    <col min="11278" max="11520" width="11.42578125" style="1"/>
    <col min="11521" max="11521" width="0" style="1" hidden="1" customWidth="1"/>
    <col min="11522" max="11522" width="23.140625" style="1" customWidth="1"/>
    <col min="11523" max="11523" width="10.140625" style="1" customWidth="1"/>
    <col min="11524" max="11525" width="9.140625" style="1" customWidth="1"/>
    <col min="11526" max="11526" width="9" style="1" customWidth="1"/>
    <col min="11527" max="11527" width="7.5703125" style="1" customWidth="1"/>
    <col min="11528" max="11528" width="9" style="1" customWidth="1"/>
    <col min="11529" max="11529" width="7.85546875" style="1" customWidth="1"/>
    <col min="11530" max="11530" width="10.5703125" style="1" customWidth="1"/>
    <col min="11531" max="11531" width="6.5703125" style="1" customWidth="1"/>
    <col min="11532" max="11532" width="9.42578125" style="1" customWidth="1"/>
    <col min="11533" max="11533" width="7.28515625" style="1" customWidth="1"/>
    <col min="11534" max="11776" width="11.42578125" style="1"/>
    <col min="11777" max="11777" width="0" style="1" hidden="1" customWidth="1"/>
    <col min="11778" max="11778" width="23.140625" style="1" customWidth="1"/>
    <col min="11779" max="11779" width="10.140625" style="1" customWidth="1"/>
    <col min="11780" max="11781" width="9.140625" style="1" customWidth="1"/>
    <col min="11782" max="11782" width="9" style="1" customWidth="1"/>
    <col min="11783" max="11783" width="7.5703125" style="1" customWidth="1"/>
    <col min="11784" max="11784" width="9" style="1" customWidth="1"/>
    <col min="11785" max="11785" width="7.85546875" style="1" customWidth="1"/>
    <col min="11786" max="11786" width="10.5703125" style="1" customWidth="1"/>
    <col min="11787" max="11787" width="6.5703125" style="1" customWidth="1"/>
    <col min="11788" max="11788" width="9.42578125" style="1" customWidth="1"/>
    <col min="11789" max="11789" width="7.28515625" style="1" customWidth="1"/>
    <col min="11790" max="12032" width="11.42578125" style="1"/>
    <col min="12033" max="12033" width="0" style="1" hidden="1" customWidth="1"/>
    <col min="12034" max="12034" width="23.140625" style="1" customWidth="1"/>
    <col min="12035" max="12035" width="10.140625" style="1" customWidth="1"/>
    <col min="12036" max="12037" width="9.140625" style="1" customWidth="1"/>
    <col min="12038" max="12038" width="9" style="1" customWidth="1"/>
    <col min="12039" max="12039" width="7.5703125" style="1" customWidth="1"/>
    <col min="12040" max="12040" width="9" style="1" customWidth="1"/>
    <col min="12041" max="12041" width="7.85546875" style="1" customWidth="1"/>
    <col min="12042" max="12042" width="10.5703125" style="1" customWidth="1"/>
    <col min="12043" max="12043" width="6.5703125" style="1" customWidth="1"/>
    <col min="12044" max="12044" width="9.42578125" style="1" customWidth="1"/>
    <col min="12045" max="12045" width="7.28515625" style="1" customWidth="1"/>
    <col min="12046" max="12288" width="11.42578125" style="1"/>
    <col min="12289" max="12289" width="0" style="1" hidden="1" customWidth="1"/>
    <col min="12290" max="12290" width="23.140625" style="1" customWidth="1"/>
    <col min="12291" max="12291" width="10.140625" style="1" customWidth="1"/>
    <col min="12292" max="12293" width="9.140625" style="1" customWidth="1"/>
    <col min="12294" max="12294" width="9" style="1" customWidth="1"/>
    <col min="12295" max="12295" width="7.5703125" style="1" customWidth="1"/>
    <col min="12296" max="12296" width="9" style="1" customWidth="1"/>
    <col min="12297" max="12297" width="7.85546875" style="1" customWidth="1"/>
    <col min="12298" max="12298" width="10.5703125" style="1" customWidth="1"/>
    <col min="12299" max="12299" width="6.5703125" style="1" customWidth="1"/>
    <col min="12300" max="12300" width="9.42578125" style="1" customWidth="1"/>
    <col min="12301" max="12301" width="7.28515625" style="1" customWidth="1"/>
    <col min="12302" max="12544" width="11.42578125" style="1"/>
    <col min="12545" max="12545" width="0" style="1" hidden="1" customWidth="1"/>
    <col min="12546" max="12546" width="23.140625" style="1" customWidth="1"/>
    <col min="12547" max="12547" width="10.140625" style="1" customWidth="1"/>
    <col min="12548" max="12549" width="9.140625" style="1" customWidth="1"/>
    <col min="12550" max="12550" width="9" style="1" customWidth="1"/>
    <col min="12551" max="12551" width="7.5703125" style="1" customWidth="1"/>
    <col min="12552" max="12552" width="9" style="1" customWidth="1"/>
    <col min="12553" max="12553" width="7.85546875" style="1" customWidth="1"/>
    <col min="12554" max="12554" width="10.5703125" style="1" customWidth="1"/>
    <col min="12555" max="12555" width="6.5703125" style="1" customWidth="1"/>
    <col min="12556" max="12556" width="9.42578125" style="1" customWidth="1"/>
    <col min="12557" max="12557" width="7.28515625" style="1" customWidth="1"/>
    <col min="12558" max="12800" width="11.42578125" style="1"/>
    <col min="12801" max="12801" width="0" style="1" hidden="1" customWidth="1"/>
    <col min="12802" max="12802" width="23.140625" style="1" customWidth="1"/>
    <col min="12803" max="12803" width="10.140625" style="1" customWidth="1"/>
    <col min="12804" max="12805" width="9.140625" style="1" customWidth="1"/>
    <col min="12806" max="12806" width="9" style="1" customWidth="1"/>
    <col min="12807" max="12807" width="7.5703125" style="1" customWidth="1"/>
    <col min="12808" max="12808" width="9" style="1" customWidth="1"/>
    <col min="12809" max="12809" width="7.85546875" style="1" customWidth="1"/>
    <col min="12810" max="12810" width="10.5703125" style="1" customWidth="1"/>
    <col min="12811" max="12811" width="6.5703125" style="1" customWidth="1"/>
    <col min="12812" max="12812" width="9.42578125" style="1" customWidth="1"/>
    <col min="12813" max="12813" width="7.28515625" style="1" customWidth="1"/>
    <col min="12814" max="13056" width="11.42578125" style="1"/>
    <col min="13057" max="13057" width="0" style="1" hidden="1" customWidth="1"/>
    <col min="13058" max="13058" width="23.140625" style="1" customWidth="1"/>
    <col min="13059" max="13059" width="10.140625" style="1" customWidth="1"/>
    <col min="13060" max="13061" width="9.140625" style="1" customWidth="1"/>
    <col min="13062" max="13062" width="9" style="1" customWidth="1"/>
    <col min="13063" max="13063" width="7.5703125" style="1" customWidth="1"/>
    <col min="13064" max="13064" width="9" style="1" customWidth="1"/>
    <col min="13065" max="13065" width="7.85546875" style="1" customWidth="1"/>
    <col min="13066" max="13066" width="10.5703125" style="1" customWidth="1"/>
    <col min="13067" max="13067" width="6.5703125" style="1" customWidth="1"/>
    <col min="13068" max="13068" width="9.42578125" style="1" customWidth="1"/>
    <col min="13069" max="13069" width="7.28515625" style="1" customWidth="1"/>
    <col min="13070" max="13312" width="11.42578125" style="1"/>
    <col min="13313" max="13313" width="0" style="1" hidden="1" customWidth="1"/>
    <col min="13314" max="13314" width="23.140625" style="1" customWidth="1"/>
    <col min="13315" max="13315" width="10.140625" style="1" customWidth="1"/>
    <col min="13316" max="13317" width="9.140625" style="1" customWidth="1"/>
    <col min="13318" max="13318" width="9" style="1" customWidth="1"/>
    <col min="13319" max="13319" width="7.5703125" style="1" customWidth="1"/>
    <col min="13320" max="13320" width="9" style="1" customWidth="1"/>
    <col min="13321" max="13321" width="7.85546875" style="1" customWidth="1"/>
    <col min="13322" max="13322" width="10.5703125" style="1" customWidth="1"/>
    <col min="13323" max="13323" width="6.5703125" style="1" customWidth="1"/>
    <col min="13324" max="13324" width="9.42578125" style="1" customWidth="1"/>
    <col min="13325" max="13325" width="7.28515625" style="1" customWidth="1"/>
    <col min="13326" max="13568" width="11.42578125" style="1"/>
    <col min="13569" max="13569" width="0" style="1" hidden="1" customWidth="1"/>
    <col min="13570" max="13570" width="23.140625" style="1" customWidth="1"/>
    <col min="13571" max="13571" width="10.140625" style="1" customWidth="1"/>
    <col min="13572" max="13573" width="9.140625" style="1" customWidth="1"/>
    <col min="13574" max="13574" width="9" style="1" customWidth="1"/>
    <col min="13575" max="13575" width="7.5703125" style="1" customWidth="1"/>
    <col min="13576" max="13576" width="9" style="1" customWidth="1"/>
    <col min="13577" max="13577" width="7.85546875" style="1" customWidth="1"/>
    <col min="13578" max="13578" width="10.5703125" style="1" customWidth="1"/>
    <col min="13579" max="13579" width="6.5703125" style="1" customWidth="1"/>
    <col min="13580" max="13580" width="9.42578125" style="1" customWidth="1"/>
    <col min="13581" max="13581" width="7.28515625" style="1" customWidth="1"/>
    <col min="13582" max="13824" width="11.42578125" style="1"/>
    <col min="13825" max="13825" width="0" style="1" hidden="1" customWidth="1"/>
    <col min="13826" max="13826" width="23.140625" style="1" customWidth="1"/>
    <col min="13827" max="13827" width="10.140625" style="1" customWidth="1"/>
    <col min="13828" max="13829" width="9.140625" style="1" customWidth="1"/>
    <col min="13830" max="13830" width="9" style="1" customWidth="1"/>
    <col min="13831" max="13831" width="7.5703125" style="1" customWidth="1"/>
    <col min="13832" max="13832" width="9" style="1" customWidth="1"/>
    <col min="13833" max="13833" width="7.85546875" style="1" customWidth="1"/>
    <col min="13834" max="13834" width="10.5703125" style="1" customWidth="1"/>
    <col min="13835" max="13835" width="6.5703125" style="1" customWidth="1"/>
    <col min="13836" max="13836" width="9.42578125" style="1" customWidth="1"/>
    <col min="13837" max="13837" width="7.28515625" style="1" customWidth="1"/>
    <col min="13838" max="14080" width="11.42578125" style="1"/>
    <col min="14081" max="14081" width="0" style="1" hidden="1" customWidth="1"/>
    <col min="14082" max="14082" width="23.140625" style="1" customWidth="1"/>
    <col min="14083" max="14083" width="10.140625" style="1" customWidth="1"/>
    <col min="14084" max="14085" width="9.140625" style="1" customWidth="1"/>
    <col min="14086" max="14086" width="9" style="1" customWidth="1"/>
    <col min="14087" max="14087" width="7.5703125" style="1" customWidth="1"/>
    <col min="14088" max="14088" width="9" style="1" customWidth="1"/>
    <col min="14089" max="14089" width="7.85546875" style="1" customWidth="1"/>
    <col min="14090" max="14090" width="10.5703125" style="1" customWidth="1"/>
    <col min="14091" max="14091" width="6.5703125" style="1" customWidth="1"/>
    <col min="14092" max="14092" width="9.42578125" style="1" customWidth="1"/>
    <col min="14093" max="14093" width="7.28515625" style="1" customWidth="1"/>
    <col min="14094" max="14336" width="11.42578125" style="1"/>
    <col min="14337" max="14337" width="0" style="1" hidden="1" customWidth="1"/>
    <col min="14338" max="14338" width="23.140625" style="1" customWidth="1"/>
    <col min="14339" max="14339" width="10.140625" style="1" customWidth="1"/>
    <col min="14340" max="14341" width="9.140625" style="1" customWidth="1"/>
    <col min="14342" max="14342" width="9" style="1" customWidth="1"/>
    <col min="14343" max="14343" width="7.5703125" style="1" customWidth="1"/>
    <col min="14344" max="14344" width="9" style="1" customWidth="1"/>
    <col min="14345" max="14345" width="7.85546875" style="1" customWidth="1"/>
    <col min="14346" max="14346" width="10.5703125" style="1" customWidth="1"/>
    <col min="14347" max="14347" width="6.5703125" style="1" customWidth="1"/>
    <col min="14348" max="14348" width="9.42578125" style="1" customWidth="1"/>
    <col min="14349" max="14349" width="7.28515625" style="1" customWidth="1"/>
    <col min="14350" max="14592" width="11.42578125" style="1"/>
    <col min="14593" max="14593" width="0" style="1" hidden="1" customWidth="1"/>
    <col min="14594" max="14594" width="23.140625" style="1" customWidth="1"/>
    <col min="14595" max="14595" width="10.140625" style="1" customWidth="1"/>
    <col min="14596" max="14597" width="9.140625" style="1" customWidth="1"/>
    <col min="14598" max="14598" width="9" style="1" customWidth="1"/>
    <col min="14599" max="14599" width="7.5703125" style="1" customWidth="1"/>
    <col min="14600" max="14600" width="9" style="1" customWidth="1"/>
    <col min="14601" max="14601" width="7.85546875" style="1" customWidth="1"/>
    <col min="14602" max="14602" width="10.5703125" style="1" customWidth="1"/>
    <col min="14603" max="14603" width="6.5703125" style="1" customWidth="1"/>
    <col min="14604" max="14604" width="9.42578125" style="1" customWidth="1"/>
    <col min="14605" max="14605" width="7.28515625" style="1" customWidth="1"/>
    <col min="14606" max="14848" width="11.42578125" style="1"/>
    <col min="14849" max="14849" width="0" style="1" hidden="1" customWidth="1"/>
    <col min="14850" max="14850" width="23.140625" style="1" customWidth="1"/>
    <col min="14851" max="14851" width="10.140625" style="1" customWidth="1"/>
    <col min="14852" max="14853" width="9.140625" style="1" customWidth="1"/>
    <col min="14854" max="14854" width="9" style="1" customWidth="1"/>
    <col min="14855" max="14855" width="7.5703125" style="1" customWidth="1"/>
    <col min="14856" max="14856" width="9" style="1" customWidth="1"/>
    <col min="14857" max="14857" width="7.85546875" style="1" customWidth="1"/>
    <col min="14858" max="14858" width="10.5703125" style="1" customWidth="1"/>
    <col min="14859" max="14859" width="6.5703125" style="1" customWidth="1"/>
    <col min="14860" max="14860" width="9.42578125" style="1" customWidth="1"/>
    <col min="14861" max="14861" width="7.28515625" style="1" customWidth="1"/>
    <col min="14862" max="15104" width="11.42578125" style="1"/>
    <col min="15105" max="15105" width="0" style="1" hidden="1" customWidth="1"/>
    <col min="15106" max="15106" width="23.140625" style="1" customWidth="1"/>
    <col min="15107" max="15107" width="10.140625" style="1" customWidth="1"/>
    <col min="15108" max="15109" width="9.140625" style="1" customWidth="1"/>
    <col min="15110" max="15110" width="9" style="1" customWidth="1"/>
    <col min="15111" max="15111" width="7.5703125" style="1" customWidth="1"/>
    <col min="15112" max="15112" width="9" style="1" customWidth="1"/>
    <col min="15113" max="15113" width="7.85546875" style="1" customWidth="1"/>
    <col min="15114" max="15114" width="10.5703125" style="1" customWidth="1"/>
    <col min="15115" max="15115" width="6.5703125" style="1" customWidth="1"/>
    <col min="15116" max="15116" width="9.42578125" style="1" customWidth="1"/>
    <col min="15117" max="15117" width="7.28515625" style="1" customWidth="1"/>
    <col min="15118" max="15360" width="11.42578125" style="1"/>
    <col min="15361" max="15361" width="0" style="1" hidden="1" customWidth="1"/>
    <col min="15362" max="15362" width="23.140625" style="1" customWidth="1"/>
    <col min="15363" max="15363" width="10.140625" style="1" customWidth="1"/>
    <col min="15364" max="15365" width="9.140625" style="1" customWidth="1"/>
    <col min="15366" max="15366" width="9" style="1" customWidth="1"/>
    <col min="15367" max="15367" width="7.5703125" style="1" customWidth="1"/>
    <col min="15368" max="15368" width="9" style="1" customWidth="1"/>
    <col min="15369" max="15369" width="7.85546875" style="1" customWidth="1"/>
    <col min="15370" max="15370" width="10.5703125" style="1" customWidth="1"/>
    <col min="15371" max="15371" width="6.5703125" style="1" customWidth="1"/>
    <col min="15372" max="15372" width="9.42578125" style="1" customWidth="1"/>
    <col min="15373" max="15373" width="7.28515625" style="1" customWidth="1"/>
    <col min="15374" max="15616" width="11.42578125" style="1"/>
    <col min="15617" max="15617" width="0" style="1" hidden="1" customWidth="1"/>
    <col min="15618" max="15618" width="23.140625" style="1" customWidth="1"/>
    <col min="15619" max="15619" width="10.140625" style="1" customWidth="1"/>
    <col min="15620" max="15621" width="9.140625" style="1" customWidth="1"/>
    <col min="15622" max="15622" width="9" style="1" customWidth="1"/>
    <col min="15623" max="15623" width="7.5703125" style="1" customWidth="1"/>
    <col min="15624" max="15624" width="9" style="1" customWidth="1"/>
    <col min="15625" max="15625" width="7.85546875" style="1" customWidth="1"/>
    <col min="15626" max="15626" width="10.5703125" style="1" customWidth="1"/>
    <col min="15627" max="15627" width="6.5703125" style="1" customWidth="1"/>
    <col min="15628" max="15628" width="9.42578125" style="1" customWidth="1"/>
    <col min="15629" max="15629" width="7.28515625" style="1" customWidth="1"/>
    <col min="15630" max="15872" width="11.42578125" style="1"/>
    <col min="15873" max="15873" width="0" style="1" hidden="1" customWidth="1"/>
    <col min="15874" max="15874" width="23.140625" style="1" customWidth="1"/>
    <col min="15875" max="15875" width="10.140625" style="1" customWidth="1"/>
    <col min="15876" max="15877" width="9.140625" style="1" customWidth="1"/>
    <col min="15878" max="15878" width="9" style="1" customWidth="1"/>
    <col min="15879" max="15879" width="7.5703125" style="1" customWidth="1"/>
    <col min="15880" max="15880" width="9" style="1" customWidth="1"/>
    <col min="15881" max="15881" width="7.85546875" style="1" customWidth="1"/>
    <col min="15882" max="15882" width="10.5703125" style="1" customWidth="1"/>
    <col min="15883" max="15883" width="6.5703125" style="1" customWidth="1"/>
    <col min="15884" max="15884" width="9.42578125" style="1" customWidth="1"/>
    <col min="15885" max="15885" width="7.28515625" style="1" customWidth="1"/>
    <col min="15886" max="16128" width="11.42578125" style="1"/>
    <col min="16129" max="16129" width="0" style="1" hidden="1" customWidth="1"/>
    <col min="16130" max="16130" width="23.140625" style="1" customWidth="1"/>
    <col min="16131" max="16131" width="10.140625" style="1" customWidth="1"/>
    <col min="16132" max="16133" width="9.140625" style="1" customWidth="1"/>
    <col min="16134" max="16134" width="9" style="1" customWidth="1"/>
    <col min="16135" max="16135" width="7.5703125" style="1" customWidth="1"/>
    <col min="16136" max="16136" width="9" style="1" customWidth="1"/>
    <col min="16137" max="16137" width="7.85546875" style="1" customWidth="1"/>
    <col min="16138" max="16138" width="10.5703125" style="1" customWidth="1"/>
    <col min="16139" max="16139" width="6.5703125" style="1" customWidth="1"/>
    <col min="16140" max="16140" width="9.42578125" style="1" customWidth="1"/>
    <col min="16141" max="16141" width="7.28515625" style="1" customWidth="1"/>
    <col min="16142" max="16384" width="11.42578125" style="1"/>
  </cols>
  <sheetData>
    <row r="1" spans="1:14" x14ac:dyDescent="0.2">
      <c r="B1" s="241" t="s">
        <v>145</v>
      </c>
      <c r="I1" s="87"/>
      <c r="J1" s="87"/>
      <c r="K1" s="87"/>
      <c r="L1" s="87"/>
      <c r="M1" s="87"/>
    </row>
    <row r="2" spans="1:14" x14ac:dyDescent="0.2">
      <c r="B2" s="89"/>
      <c r="C2" s="89" t="s">
        <v>146</v>
      </c>
      <c r="D2" s="89"/>
      <c r="E2" s="89"/>
      <c r="F2" s="91"/>
      <c r="G2" s="92" t="s">
        <v>46</v>
      </c>
      <c r="H2" s="92"/>
      <c r="I2" s="87"/>
      <c r="J2" s="87"/>
      <c r="K2" s="87"/>
      <c r="L2" s="87"/>
      <c r="M2" s="87"/>
      <c r="N2" s="95"/>
    </row>
    <row r="3" spans="1:14" x14ac:dyDescent="0.2">
      <c r="B3" s="90" t="s">
        <v>47</v>
      </c>
      <c r="C3" s="242" t="s">
        <v>147</v>
      </c>
      <c r="D3" s="90" t="s">
        <v>49</v>
      </c>
      <c r="E3" s="90" t="s">
        <v>94</v>
      </c>
      <c r="F3" s="97" t="s">
        <v>51</v>
      </c>
      <c r="G3" s="90" t="s">
        <v>94</v>
      </c>
      <c r="H3" s="90" t="s">
        <v>24</v>
      </c>
      <c r="I3" s="90" t="s">
        <v>94</v>
      </c>
      <c r="J3" s="90" t="s">
        <v>148</v>
      </c>
      <c r="K3" s="90" t="s">
        <v>94</v>
      </c>
      <c r="L3" s="243" t="s">
        <v>149</v>
      </c>
      <c r="M3" s="90" t="s">
        <v>94</v>
      </c>
      <c r="N3" s="95"/>
    </row>
    <row r="4" spans="1:14" x14ac:dyDescent="0.2">
      <c r="B4" s="100"/>
      <c r="C4" s="100" t="s">
        <v>150</v>
      </c>
      <c r="D4" s="99"/>
      <c r="E4" s="99" t="s">
        <v>50</v>
      </c>
      <c r="F4" s="99" t="s">
        <v>151</v>
      </c>
      <c r="G4" s="99" t="s">
        <v>50</v>
      </c>
      <c r="H4" s="99" t="s">
        <v>152</v>
      </c>
      <c r="I4" s="99" t="s">
        <v>50</v>
      </c>
      <c r="J4" s="100" t="s">
        <v>153</v>
      </c>
      <c r="K4" s="99" t="s">
        <v>50</v>
      </c>
      <c r="L4" s="244" t="s">
        <v>154</v>
      </c>
      <c r="M4" s="99" t="s">
        <v>50</v>
      </c>
      <c r="N4" s="95"/>
    </row>
    <row r="5" spans="1:14" x14ac:dyDescent="0.2">
      <c r="A5" s="85"/>
      <c r="B5" s="245" t="s">
        <v>155</v>
      </c>
      <c r="C5" s="207"/>
      <c r="D5" s="246"/>
      <c r="E5" s="246"/>
      <c r="F5" s="246"/>
      <c r="G5" s="246"/>
      <c r="H5" s="246"/>
      <c r="I5" s="119"/>
      <c r="J5" s="207"/>
      <c r="K5" s="183"/>
      <c r="L5" s="183"/>
      <c r="M5" s="183"/>
      <c r="N5" s="95"/>
    </row>
    <row r="6" spans="1:14" x14ac:dyDescent="0.2">
      <c r="B6" s="247" t="s">
        <v>156</v>
      </c>
      <c r="C6" s="124"/>
      <c r="D6" s="248"/>
      <c r="E6" s="248"/>
      <c r="F6" s="248"/>
      <c r="G6" s="248"/>
      <c r="H6" s="248"/>
      <c r="I6" s="119"/>
      <c r="J6" s="248"/>
      <c r="K6" s="183"/>
      <c r="L6" s="183"/>
      <c r="M6" s="183"/>
      <c r="N6" s="95"/>
    </row>
    <row r="7" spans="1:14" x14ac:dyDescent="0.2">
      <c r="B7" s="249" t="s">
        <v>157</v>
      </c>
      <c r="C7" s="111"/>
      <c r="D7" s="114">
        <v>24</v>
      </c>
      <c r="E7" s="113">
        <f>(C7*D7)</f>
        <v>0</v>
      </c>
      <c r="F7" s="114">
        <v>0.17</v>
      </c>
      <c r="G7" s="113">
        <f>C7*F7</f>
        <v>0</v>
      </c>
      <c r="H7" s="114">
        <v>0.06</v>
      </c>
      <c r="I7" s="113">
        <f>C7*H7</f>
        <v>0</v>
      </c>
      <c r="J7" s="127"/>
      <c r="K7" s="189"/>
      <c r="L7" s="189"/>
      <c r="M7" s="182"/>
      <c r="N7" s="95"/>
    </row>
    <row r="8" spans="1:14" x14ac:dyDescent="0.2">
      <c r="B8" s="250" t="s">
        <v>158</v>
      </c>
      <c r="C8" s="111"/>
      <c r="D8" s="114">
        <v>14</v>
      </c>
      <c r="E8" s="113">
        <f>C8*D8</f>
        <v>0</v>
      </c>
      <c r="F8" s="151"/>
      <c r="G8" s="191"/>
      <c r="H8" s="151"/>
      <c r="I8" s="191"/>
      <c r="J8" s="189"/>
      <c r="K8" s="189"/>
      <c r="L8" s="189"/>
      <c r="M8" s="189"/>
    </row>
    <row r="9" spans="1:14" x14ac:dyDescent="0.2">
      <c r="B9" s="251" t="s">
        <v>159</v>
      </c>
      <c r="C9" s="111"/>
      <c r="D9" s="114">
        <v>25</v>
      </c>
      <c r="E9" s="113">
        <f>C9*D9</f>
        <v>0</v>
      </c>
      <c r="F9" s="114">
        <v>0.13</v>
      </c>
      <c r="G9" s="113">
        <f>C9*F9</f>
        <v>0</v>
      </c>
      <c r="H9" s="114">
        <v>0.05</v>
      </c>
      <c r="I9" s="113">
        <f>C9*H9</f>
        <v>0</v>
      </c>
      <c r="J9" s="189"/>
      <c r="K9" s="189"/>
      <c r="L9" s="252">
        <v>8.9999999999999993E-3</v>
      </c>
      <c r="M9" s="253">
        <f>(C9*L9)</f>
        <v>0</v>
      </c>
    </row>
    <row r="10" spans="1:14" x14ac:dyDescent="0.2">
      <c r="B10" s="249" t="s">
        <v>160</v>
      </c>
      <c r="C10" s="254"/>
      <c r="D10" s="189"/>
      <c r="E10" s="189"/>
      <c r="F10" s="114">
        <v>0.14000000000000001</v>
      </c>
      <c r="G10" s="253">
        <f>C10*F10</f>
        <v>0</v>
      </c>
      <c r="H10" s="189"/>
      <c r="I10" s="189"/>
      <c r="J10" s="114">
        <v>0.09</v>
      </c>
      <c r="K10" s="113">
        <f>C10*J10</f>
        <v>0</v>
      </c>
      <c r="L10" s="114">
        <v>0.01</v>
      </c>
      <c r="M10" s="113">
        <f>C10*L10</f>
        <v>0</v>
      </c>
    </row>
    <row r="11" spans="1:14" x14ac:dyDescent="0.2">
      <c r="B11" s="255" t="s">
        <v>161</v>
      </c>
      <c r="C11" s="118"/>
      <c r="D11" s="177"/>
      <c r="E11" s="178"/>
      <c r="F11" s="178"/>
      <c r="G11" s="183"/>
      <c r="H11" s="178"/>
      <c r="I11" s="207"/>
      <c r="J11" s="207"/>
      <c r="K11" s="207"/>
      <c r="L11" s="207"/>
      <c r="M11" s="207"/>
      <c r="N11" s="95"/>
    </row>
    <row r="12" spans="1:14" x14ac:dyDescent="0.2">
      <c r="B12" s="247" t="s">
        <v>162</v>
      </c>
      <c r="C12" s="123"/>
      <c r="D12" s="256"/>
      <c r="E12" s="257"/>
      <c r="F12" s="257"/>
      <c r="G12" s="248"/>
      <c r="H12" s="257"/>
      <c r="I12" s="248"/>
      <c r="J12" s="248"/>
      <c r="K12" s="248"/>
      <c r="L12" s="248"/>
      <c r="M12" s="248"/>
      <c r="N12" s="95"/>
    </row>
    <row r="13" spans="1:14" x14ac:dyDescent="0.2">
      <c r="B13" s="222" t="s">
        <v>163</v>
      </c>
      <c r="C13" s="111"/>
      <c r="D13" s="114">
        <v>0.71399999999999997</v>
      </c>
      <c r="E13" s="113">
        <f>C13*D13</f>
        <v>0</v>
      </c>
      <c r="F13" s="191"/>
      <c r="G13" s="189"/>
      <c r="H13" s="191"/>
      <c r="I13" s="127"/>
      <c r="J13" s="189"/>
      <c r="K13" s="189"/>
      <c r="L13" s="189"/>
      <c r="M13" s="189"/>
      <c r="N13" s="95"/>
    </row>
    <row r="14" spans="1:14" x14ac:dyDescent="0.2">
      <c r="B14" s="222" t="s">
        <v>1197</v>
      </c>
      <c r="C14" s="111">
        <v>132</v>
      </c>
      <c r="D14" s="458">
        <v>0.37</v>
      </c>
      <c r="E14" s="113">
        <f>C14*D14</f>
        <v>48.839999999999996</v>
      </c>
      <c r="F14" s="191"/>
      <c r="G14" s="189"/>
      <c r="H14" s="191"/>
      <c r="I14" s="189"/>
      <c r="J14" s="189"/>
      <c r="K14" s="189"/>
      <c r="L14" s="189"/>
      <c r="M14" s="189"/>
      <c r="N14" s="95"/>
    </row>
    <row r="15" spans="1:14" x14ac:dyDescent="0.2">
      <c r="B15" s="222" t="s">
        <v>164</v>
      </c>
      <c r="C15" s="111"/>
      <c r="D15" s="114">
        <v>0.32</v>
      </c>
      <c r="E15" s="113">
        <f>C15*D15</f>
        <v>0</v>
      </c>
      <c r="F15" s="191"/>
      <c r="G15" s="189"/>
      <c r="H15" s="191"/>
      <c r="I15" s="189"/>
      <c r="J15" s="189"/>
      <c r="K15" s="189"/>
      <c r="L15" s="189"/>
      <c r="M15" s="189"/>
      <c r="N15" s="95"/>
    </row>
    <row r="16" spans="1:14" ht="15.75" x14ac:dyDescent="0.25">
      <c r="B16" s="258" t="s">
        <v>165</v>
      </c>
      <c r="C16" s="162"/>
      <c r="D16" s="162"/>
      <c r="E16" s="182"/>
      <c r="F16" s="189"/>
      <c r="G16" s="259">
        <f>SUM(G7:G10)</f>
        <v>0</v>
      </c>
      <c r="H16" s="260"/>
      <c r="I16" s="259">
        <f>SUM(I7:I9)</f>
        <v>0</v>
      </c>
      <c r="J16" s="189"/>
      <c r="K16" s="164">
        <f>SUM(K10:K15)</f>
        <v>0</v>
      </c>
      <c r="L16" s="165"/>
      <c r="M16" s="164">
        <f>SUM(M9:M15)</f>
        <v>0</v>
      </c>
      <c r="N16" s="95"/>
    </row>
    <row r="17" spans="2:2" x14ac:dyDescent="0.2">
      <c r="B17" s="261"/>
    </row>
    <row r="18" spans="2:2" x14ac:dyDescent="0.2">
      <c r="B18" s="261"/>
    </row>
  </sheetData>
  <pageMargins left="0.75" right="0.75" top="1" bottom="1" header="0" footer="0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3:P32"/>
  <sheetViews>
    <sheetView tabSelected="1" topLeftCell="A4" workbookViewId="0">
      <selection activeCell="A21" sqref="A21"/>
    </sheetView>
  </sheetViews>
  <sheetFormatPr baseColWidth="10" defaultRowHeight="12.75" x14ac:dyDescent="0.2"/>
  <cols>
    <col min="1" max="1" width="22.85546875" style="1" customWidth="1"/>
    <col min="2" max="2" width="9" style="1" customWidth="1"/>
    <col min="3" max="3" width="5.140625" style="1" customWidth="1"/>
    <col min="4" max="4" width="6.42578125" style="1" customWidth="1"/>
    <col min="5" max="5" width="8.85546875" style="1" customWidth="1"/>
    <col min="6" max="6" width="5.85546875" style="1" customWidth="1"/>
    <col min="7" max="7" width="7" style="1" customWidth="1"/>
    <col min="8" max="8" width="5.7109375" style="1" customWidth="1"/>
    <col min="9" max="9" width="6.85546875" style="1" customWidth="1"/>
    <col min="10" max="10" width="6" style="1" customWidth="1"/>
    <col min="11" max="11" width="6.7109375" style="1" customWidth="1"/>
    <col min="12" max="12" width="6.28515625" style="1" customWidth="1"/>
    <col min="13" max="13" width="7.7109375" style="1" customWidth="1"/>
    <col min="14" max="14" width="6.28515625" style="1" customWidth="1"/>
    <col min="15" max="15" width="7.7109375" style="1" customWidth="1"/>
    <col min="16" max="256" width="11.42578125" style="1"/>
    <col min="257" max="257" width="22.85546875" style="1" customWidth="1"/>
    <col min="258" max="258" width="9" style="1" customWidth="1"/>
    <col min="259" max="259" width="5.140625" style="1" customWidth="1"/>
    <col min="260" max="260" width="6.42578125" style="1" customWidth="1"/>
    <col min="261" max="261" width="8.85546875" style="1" customWidth="1"/>
    <col min="262" max="262" width="5.85546875" style="1" customWidth="1"/>
    <col min="263" max="263" width="7" style="1" customWidth="1"/>
    <col min="264" max="264" width="5.7109375" style="1" customWidth="1"/>
    <col min="265" max="265" width="6.85546875" style="1" customWidth="1"/>
    <col min="266" max="266" width="6" style="1" customWidth="1"/>
    <col min="267" max="267" width="6.7109375" style="1" customWidth="1"/>
    <col min="268" max="268" width="6.28515625" style="1" customWidth="1"/>
    <col min="269" max="269" width="7.7109375" style="1" customWidth="1"/>
    <col min="270" max="270" width="6.28515625" style="1" customWidth="1"/>
    <col min="271" max="271" width="7.7109375" style="1" customWidth="1"/>
    <col min="272" max="512" width="11.42578125" style="1"/>
    <col min="513" max="513" width="22.85546875" style="1" customWidth="1"/>
    <col min="514" max="514" width="9" style="1" customWidth="1"/>
    <col min="515" max="515" width="5.140625" style="1" customWidth="1"/>
    <col min="516" max="516" width="6.42578125" style="1" customWidth="1"/>
    <col min="517" max="517" width="8.85546875" style="1" customWidth="1"/>
    <col min="518" max="518" width="5.85546875" style="1" customWidth="1"/>
    <col min="519" max="519" width="7" style="1" customWidth="1"/>
    <col min="520" max="520" width="5.7109375" style="1" customWidth="1"/>
    <col min="521" max="521" width="6.85546875" style="1" customWidth="1"/>
    <col min="522" max="522" width="6" style="1" customWidth="1"/>
    <col min="523" max="523" width="6.7109375" style="1" customWidth="1"/>
    <col min="524" max="524" width="6.28515625" style="1" customWidth="1"/>
    <col min="525" max="525" width="7.7109375" style="1" customWidth="1"/>
    <col min="526" max="526" width="6.28515625" style="1" customWidth="1"/>
    <col min="527" max="527" width="7.7109375" style="1" customWidth="1"/>
    <col min="528" max="768" width="11.42578125" style="1"/>
    <col min="769" max="769" width="22.85546875" style="1" customWidth="1"/>
    <col min="770" max="770" width="9" style="1" customWidth="1"/>
    <col min="771" max="771" width="5.140625" style="1" customWidth="1"/>
    <col min="772" max="772" width="6.42578125" style="1" customWidth="1"/>
    <col min="773" max="773" width="8.85546875" style="1" customWidth="1"/>
    <col min="774" max="774" width="5.85546875" style="1" customWidth="1"/>
    <col min="775" max="775" width="7" style="1" customWidth="1"/>
    <col min="776" max="776" width="5.7109375" style="1" customWidth="1"/>
    <col min="777" max="777" width="6.85546875" style="1" customWidth="1"/>
    <col min="778" max="778" width="6" style="1" customWidth="1"/>
    <col min="779" max="779" width="6.7109375" style="1" customWidth="1"/>
    <col min="780" max="780" width="6.28515625" style="1" customWidth="1"/>
    <col min="781" max="781" width="7.7109375" style="1" customWidth="1"/>
    <col min="782" max="782" width="6.28515625" style="1" customWidth="1"/>
    <col min="783" max="783" width="7.7109375" style="1" customWidth="1"/>
    <col min="784" max="1024" width="11.42578125" style="1"/>
    <col min="1025" max="1025" width="22.85546875" style="1" customWidth="1"/>
    <col min="1026" max="1026" width="9" style="1" customWidth="1"/>
    <col min="1027" max="1027" width="5.140625" style="1" customWidth="1"/>
    <col min="1028" max="1028" width="6.42578125" style="1" customWidth="1"/>
    <col min="1029" max="1029" width="8.85546875" style="1" customWidth="1"/>
    <col min="1030" max="1030" width="5.85546875" style="1" customWidth="1"/>
    <col min="1031" max="1031" width="7" style="1" customWidth="1"/>
    <col min="1032" max="1032" width="5.7109375" style="1" customWidth="1"/>
    <col min="1033" max="1033" width="6.85546875" style="1" customWidth="1"/>
    <col min="1034" max="1034" width="6" style="1" customWidth="1"/>
    <col min="1035" max="1035" width="6.7109375" style="1" customWidth="1"/>
    <col min="1036" max="1036" width="6.28515625" style="1" customWidth="1"/>
    <col min="1037" max="1037" width="7.7109375" style="1" customWidth="1"/>
    <col min="1038" max="1038" width="6.28515625" style="1" customWidth="1"/>
    <col min="1039" max="1039" width="7.7109375" style="1" customWidth="1"/>
    <col min="1040" max="1280" width="11.42578125" style="1"/>
    <col min="1281" max="1281" width="22.85546875" style="1" customWidth="1"/>
    <col min="1282" max="1282" width="9" style="1" customWidth="1"/>
    <col min="1283" max="1283" width="5.140625" style="1" customWidth="1"/>
    <col min="1284" max="1284" width="6.42578125" style="1" customWidth="1"/>
    <col min="1285" max="1285" width="8.85546875" style="1" customWidth="1"/>
    <col min="1286" max="1286" width="5.85546875" style="1" customWidth="1"/>
    <col min="1287" max="1287" width="7" style="1" customWidth="1"/>
    <col min="1288" max="1288" width="5.7109375" style="1" customWidth="1"/>
    <col min="1289" max="1289" width="6.85546875" style="1" customWidth="1"/>
    <col min="1290" max="1290" width="6" style="1" customWidth="1"/>
    <col min="1291" max="1291" width="6.7109375" style="1" customWidth="1"/>
    <col min="1292" max="1292" width="6.28515625" style="1" customWidth="1"/>
    <col min="1293" max="1293" width="7.7109375" style="1" customWidth="1"/>
    <col min="1294" max="1294" width="6.28515625" style="1" customWidth="1"/>
    <col min="1295" max="1295" width="7.7109375" style="1" customWidth="1"/>
    <col min="1296" max="1536" width="11.42578125" style="1"/>
    <col min="1537" max="1537" width="22.85546875" style="1" customWidth="1"/>
    <col min="1538" max="1538" width="9" style="1" customWidth="1"/>
    <col min="1539" max="1539" width="5.140625" style="1" customWidth="1"/>
    <col min="1540" max="1540" width="6.42578125" style="1" customWidth="1"/>
    <col min="1541" max="1541" width="8.85546875" style="1" customWidth="1"/>
    <col min="1542" max="1542" width="5.85546875" style="1" customWidth="1"/>
    <col min="1543" max="1543" width="7" style="1" customWidth="1"/>
    <col min="1544" max="1544" width="5.7109375" style="1" customWidth="1"/>
    <col min="1545" max="1545" width="6.85546875" style="1" customWidth="1"/>
    <col min="1546" max="1546" width="6" style="1" customWidth="1"/>
    <col min="1547" max="1547" width="6.7109375" style="1" customWidth="1"/>
    <col min="1548" max="1548" width="6.28515625" style="1" customWidth="1"/>
    <col min="1549" max="1549" width="7.7109375" style="1" customWidth="1"/>
    <col min="1550" max="1550" width="6.28515625" style="1" customWidth="1"/>
    <col min="1551" max="1551" width="7.7109375" style="1" customWidth="1"/>
    <col min="1552" max="1792" width="11.42578125" style="1"/>
    <col min="1793" max="1793" width="22.85546875" style="1" customWidth="1"/>
    <col min="1794" max="1794" width="9" style="1" customWidth="1"/>
    <col min="1795" max="1795" width="5.140625" style="1" customWidth="1"/>
    <col min="1796" max="1796" width="6.42578125" style="1" customWidth="1"/>
    <col min="1797" max="1797" width="8.85546875" style="1" customWidth="1"/>
    <col min="1798" max="1798" width="5.85546875" style="1" customWidth="1"/>
    <col min="1799" max="1799" width="7" style="1" customWidth="1"/>
    <col min="1800" max="1800" width="5.7109375" style="1" customWidth="1"/>
    <col min="1801" max="1801" width="6.85546875" style="1" customWidth="1"/>
    <col min="1802" max="1802" width="6" style="1" customWidth="1"/>
    <col min="1803" max="1803" width="6.7109375" style="1" customWidth="1"/>
    <col min="1804" max="1804" width="6.28515625" style="1" customWidth="1"/>
    <col min="1805" max="1805" width="7.7109375" style="1" customWidth="1"/>
    <col min="1806" max="1806" width="6.28515625" style="1" customWidth="1"/>
    <col min="1807" max="1807" width="7.7109375" style="1" customWidth="1"/>
    <col min="1808" max="2048" width="11.42578125" style="1"/>
    <col min="2049" max="2049" width="22.85546875" style="1" customWidth="1"/>
    <col min="2050" max="2050" width="9" style="1" customWidth="1"/>
    <col min="2051" max="2051" width="5.140625" style="1" customWidth="1"/>
    <col min="2052" max="2052" width="6.42578125" style="1" customWidth="1"/>
    <col min="2053" max="2053" width="8.85546875" style="1" customWidth="1"/>
    <col min="2054" max="2054" width="5.85546875" style="1" customWidth="1"/>
    <col min="2055" max="2055" width="7" style="1" customWidth="1"/>
    <col min="2056" max="2056" width="5.7109375" style="1" customWidth="1"/>
    <col min="2057" max="2057" width="6.85546875" style="1" customWidth="1"/>
    <col min="2058" max="2058" width="6" style="1" customWidth="1"/>
    <col min="2059" max="2059" width="6.7109375" style="1" customWidth="1"/>
    <col min="2060" max="2060" width="6.28515625" style="1" customWidth="1"/>
    <col min="2061" max="2061" width="7.7109375" style="1" customWidth="1"/>
    <col min="2062" max="2062" width="6.28515625" style="1" customWidth="1"/>
    <col min="2063" max="2063" width="7.7109375" style="1" customWidth="1"/>
    <col min="2064" max="2304" width="11.42578125" style="1"/>
    <col min="2305" max="2305" width="22.85546875" style="1" customWidth="1"/>
    <col min="2306" max="2306" width="9" style="1" customWidth="1"/>
    <col min="2307" max="2307" width="5.140625" style="1" customWidth="1"/>
    <col min="2308" max="2308" width="6.42578125" style="1" customWidth="1"/>
    <col min="2309" max="2309" width="8.85546875" style="1" customWidth="1"/>
    <col min="2310" max="2310" width="5.85546875" style="1" customWidth="1"/>
    <col min="2311" max="2311" width="7" style="1" customWidth="1"/>
    <col min="2312" max="2312" width="5.7109375" style="1" customWidth="1"/>
    <col min="2313" max="2313" width="6.85546875" style="1" customWidth="1"/>
    <col min="2314" max="2314" width="6" style="1" customWidth="1"/>
    <col min="2315" max="2315" width="6.7109375" style="1" customWidth="1"/>
    <col min="2316" max="2316" width="6.28515625" style="1" customWidth="1"/>
    <col min="2317" max="2317" width="7.7109375" style="1" customWidth="1"/>
    <col min="2318" max="2318" width="6.28515625" style="1" customWidth="1"/>
    <col min="2319" max="2319" width="7.7109375" style="1" customWidth="1"/>
    <col min="2320" max="2560" width="11.42578125" style="1"/>
    <col min="2561" max="2561" width="22.85546875" style="1" customWidth="1"/>
    <col min="2562" max="2562" width="9" style="1" customWidth="1"/>
    <col min="2563" max="2563" width="5.140625" style="1" customWidth="1"/>
    <col min="2564" max="2564" width="6.42578125" style="1" customWidth="1"/>
    <col min="2565" max="2565" width="8.85546875" style="1" customWidth="1"/>
    <col min="2566" max="2566" width="5.85546875" style="1" customWidth="1"/>
    <col min="2567" max="2567" width="7" style="1" customWidth="1"/>
    <col min="2568" max="2568" width="5.7109375" style="1" customWidth="1"/>
    <col min="2569" max="2569" width="6.85546875" style="1" customWidth="1"/>
    <col min="2570" max="2570" width="6" style="1" customWidth="1"/>
    <col min="2571" max="2571" width="6.7109375" style="1" customWidth="1"/>
    <col min="2572" max="2572" width="6.28515625" style="1" customWidth="1"/>
    <col min="2573" max="2573" width="7.7109375" style="1" customWidth="1"/>
    <col min="2574" max="2574" width="6.28515625" style="1" customWidth="1"/>
    <col min="2575" max="2575" width="7.7109375" style="1" customWidth="1"/>
    <col min="2576" max="2816" width="11.42578125" style="1"/>
    <col min="2817" max="2817" width="22.85546875" style="1" customWidth="1"/>
    <col min="2818" max="2818" width="9" style="1" customWidth="1"/>
    <col min="2819" max="2819" width="5.140625" style="1" customWidth="1"/>
    <col min="2820" max="2820" width="6.42578125" style="1" customWidth="1"/>
    <col min="2821" max="2821" width="8.85546875" style="1" customWidth="1"/>
    <col min="2822" max="2822" width="5.85546875" style="1" customWidth="1"/>
    <col min="2823" max="2823" width="7" style="1" customWidth="1"/>
    <col min="2824" max="2824" width="5.7109375" style="1" customWidth="1"/>
    <col min="2825" max="2825" width="6.85546875" style="1" customWidth="1"/>
    <col min="2826" max="2826" width="6" style="1" customWidth="1"/>
    <col min="2827" max="2827" width="6.7109375" style="1" customWidth="1"/>
    <col min="2828" max="2828" width="6.28515625" style="1" customWidth="1"/>
    <col min="2829" max="2829" width="7.7109375" style="1" customWidth="1"/>
    <col min="2830" max="2830" width="6.28515625" style="1" customWidth="1"/>
    <col min="2831" max="2831" width="7.7109375" style="1" customWidth="1"/>
    <col min="2832" max="3072" width="11.42578125" style="1"/>
    <col min="3073" max="3073" width="22.85546875" style="1" customWidth="1"/>
    <col min="3074" max="3074" width="9" style="1" customWidth="1"/>
    <col min="3075" max="3075" width="5.140625" style="1" customWidth="1"/>
    <col min="3076" max="3076" width="6.42578125" style="1" customWidth="1"/>
    <col min="3077" max="3077" width="8.85546875" style="1" customWidth="1"/>
    <col min="3078" max="3078" width="5.85546875" style="1" customWidth="1"/>
    <col min="3079" max="3079" width="7" style="1" customWidth="1"/>
    <col min="3080" max="3080" width="5.7109375" style="1" customWidth="1"/>
    <col min="3081" max="3081" width="6.85546875" style="1" customWidth="1"/>
    <col min="3082" max="3082" width="6" style="1" customWidth="1"/>
    <col min="3083" max="3083" width="6.7109375" style="1" customWidth="1"/>
    <col min="3084" max="3084" width="6.28515625" style="1" customWidth="1"/>
    <col min="3085" max="3085" width="7.7109375" style="1" customWidth="1"/>
    <col min="3086" max="3086" width="6.28515625" style="1" customWidth="1"/>
    <col min="3087" max="3087" width="7.7109375" style="1" customWidth="1"/>
    <col min="3088" max="3328" width="11.42578125" style="1"/>
    <col min="3329" max="3329" width="22.85546875" style="1" customWidth="1"/>
    <col min="3330" max="3330" width="9" style="1" customWidth="1"/>
    <col min="3331" max="3331" width="5.140625" style="1" customWidth="1"/>
    <col min="3332" max="3332" width="6.42578125" style="1" customWidth="1"/>
    <col min="3333" max="3333" width="8.85546875" style="1" customWidth="1"/>
    <col min="3334" max="3334" width="5.85546875" style="1" customWidth="1"/>
    <col min="3335" max="3335" width="7" style="1" customWidth="1"/>
    <col min="3336" max="3336" width="5.7109375" style="1" customWidth="1"/>
    <col min="3337" max="3337" width="6.85546875" style="1" customWidth="1"/>
    <col min="3338" max="3338" width="6" style="1" customWidth="1"/>
    <col min="3339" max="3339" width="6.7109375" style="1" customWidth="1"/>
    <col min="3340" max="3340" width="6.28515625" style="1" customWidth="1"/>
    <col min="3341" max="3341" width="7.7109375" style="1" customWidth="1"/>
    <col min="3342" max="3342" width="6.28515625" style="1" customWidth="1"/>
    <col min="3343" max="3343" width="7.7109375" style="1" customWidth="1"/>
    <col min="3344" max="3584" width="11.42578125" style="1"/>
    <col min="3585" max="3585" width="22.85546875" style="1" customWidth="1"/>
    <col min="3586" max="3586" width="9" style="1" customWidth="1"/>
    <col min="3587" max="3587" width="5.140625" style="1" customWidth="1"/>
    <col min="3588" max="3588" width="6.42578125" style="1" customWidth="1"/>
    <col min="3589" max="3589" width="8.85546875" style="1" customWidth="1"/>
    <col min="3590" max="3590" width="5.85546875" style="1" customWidth="1"/>
    <col min="3591" max="3591" width="7" style="1" customWidth="1"/>
    <col min="3592" max="3592" width="5.7109375" style="1" customWidth="1"/>
    <col min="3593" max="3593" width="6.85546875" style="1" customWidth="1"/>
    <col min="3594" max="3594" width="6" style="1" customWidth="1"/>
    <col min="3595" max="3595" width="6.7109375" style="1" customWidth="1"/>
    <col min="3596" max="3596" width="6.28515625" style="1" customWidth="1"/>
    <col min="3597" max="3597" width="7.7109375" style="1" customWidth="1"/>
    <col min="3598" max="3598" width="6.28515625" style="1" customWidth="1"/>
    <col min="3599" max="3599" width="7.7109375" style="1" customWidth="1"/>
    <col min="3600" max="3840" width="11.42578125" style="1"/>
    <col min="3841" max="3841" width="22.85546875" style="1" customWidth="1"/>
    <col min="3842" max="3842" width="9" style="1" customWidth="1"/>
    <col min="3843" max="3843" width="5.140625" style="1" customWidth="1"/>
    <col min="3844" max="3844" width="6.42578125" style="1" customWidth="1"/>
    <col min="3845" max="3845" width="8.85546875" style="1" customWidth="1"/>
    <col min="3846" max="3846" width="5.85546875" style="1" customWidth="1"/>
    <col min="3847" max="3847" width="7" style="1" customWidth="1"/>
    <col min="3848" max="3848" width="5.7109375" style="1" customWidth="1"/>
    <col min="3849" max="3849" width="6.85546875" style="1" customWidth="1"/>
    <col min="3850" max="3850" width="6" style="1" customWidth="1"/>
    <col min="3851" max="3851" width="6.7109375" style="1" customWidth="1"/>
    <col min="3852" max="3852" width="6.28515625" style="1" customWidth="1"/>
    <col min="3853" max="3853" width="7.7109375" style="1" customWidth="1"/>
    <col min="3854" max="3854" width="6.28515625" style="1" customWidth="1"/>
    <col min="3855" max="3855" width="7.7109375" style="1" customWidth="1"/>
    <col min="3856" max="4096" width="11.42578125" style="1"/>
    <col min="4097" max="4097" width="22.85546875" style="1" customWidth="1"/>
    <col min="4098" max="4098" width="9" style="1" customWidth="1"/>
    <col min="4099" max="4099" width="5.140625" style="1" customWidth="1"/>
    <col min="4100" max="4100" width="6.42578125" style="1" customWidth="1"/>
    <col min="4101" max="4101" width="8.85546875" style="1" customWidth="1"/>
    <col min="4102" max="4102" width="5.85546875" style="1" customWidth="1"/>
    <col min="4103" max="4103" width="7" style="1" customWidth="1"/>
    <col min="4104" max="4104" width="5.7109375" style="1" customWidth="1"/>
    <col min="4105" max="4105" width="6.85546875" style="1" customWidth="1"/>
    <col min="4106" max="4106" width="6" style="1" customWidth="1"/>
    <col min="4107" max="4107" width="6.7109375" style="1" customWidth="1"/>
    <col min="4108" max="4108" width="6.28515625" style="1" customWidth="1"/>
    <col min="4109" max="4109" width="7.7109375" style="1" customWidth="1"/>
    <col min="4110" max="4110" width="6.28515625" style="1" customWidth="1"/>
    <col min="4111" max="4111" width="7.7109375" style="1" customWidth="1"/>
    <col min="4112" max="4352" width="11.42578125" style="1"/>
    <col min="4353" max="4353" width="22.85546875" style="1" customWidth="1"/>
    <col min="4354" max="4354" width="9" style="1" customWidth="1"/>
    <col min="4355" max="4355" width="5.140625" style="1" customWidth="1"/>
    <col min="4356" max="4356" width="6.42578125" style="1" customWidth="1"/>
    <col min="4357" max="4357" width="8.85546875" style="1" customWidth="1"/>
    <col min="4358" max="4358" width="5.85546875" style="1" customWidth="1"/>
    <col min="4359" max="4359" width="7" style="1" customWidth="1"/>
    <col min="4360" max="4360" width="5.7109375" style="1" customWidth="1"/>
    <col min="4361" max="4361" width="6.85546875" style="1" customWidth="1"/>
    <col min="4362" max="4362" width="6" style="1" customWidth="1"/>
    <col min="4363" max="4363" width="6.7109375" style="1" customWidth="1"/>
    <col min="4364" max="4364" width="6.28515625" style="1" customWidth="1"/>
    <col min="4365" max="4365" width="7.7109375" style="1" customWidth="1"/>
    <col min="4366" max="4366" width="6.28515625" style="1" customWidth="1"/>
    <col min="4367" max="4367" width="7.7109375" style="1" customWidth="1"/>
    <col min="4368" max="4608" width="11.42578125" style="1"/>
    <col min="4609" max="4609" width="22.85546875" style="1" customWidth="1"/>
    <col min="4610" max="4610" width="9" style="1" customWidth="1"/>
    <col min="4611" max="4611" width="5.140625" style="1" customWidth="1"/>
    <col min="4612" max="4612" width="6.42578125" style="1" customWidth="1"/>
    <col min="4613" max="4613" width="8.85546875" style="1" customWidth="1"/>
    <col min="4614" max="4614" width="5.85546875" style="1" customWidth="1"/>
    <col min="4615" max="4615" width="7" style="1" customWidth="1"/>
    <col min="4616" max="4616" width="5.7109375" style="1" customWidth="1"/>
    <col min="4617" max="4617" width="6.85546875" style="1" customWidth="1"/>
    <col min="4618" max="4618" width="6" style="1" customWidth="1"/>
    <col min="4619" max="4619" width="6.7109375" style="1" customWidth="1"/>
    <col min="4620" max="4620" width="6.28515625" style="1" customWidth="1"/>
    <col min="4621" max="4621" width="7.7109375" style="1" customWidth="1"/>
    <col min="4622" max="4622" width="6.28515625" style="1" customWidth="1"/>
    <col min="4623" max="4623" width="7.7109375" style="1" customWidth="1"/>
    <col min="4624" max="4864" width="11.42578125" style="1"/>
    <col min="4865" max="4865" width="22.85546875" style="1" customWidth="1"/>
    <col min="4866" max="4866" width="9" style="1" customWidth="1"/>
    <col min="4867" max="4867" width="5.140625" style="1" customWidth="1"/>
    <col min="4868" max="4868" width="6.42578125" style="1" customWidth="1"/>
    <col min="4869" max="4869" width="8.85546875" style="1" customWidth="1"/>
    <col min="4870" max="4870" width="5.85546875" style="1" customWidth="1"/>
    <col min="4871" max="4871" width="7" style="1" customWidth="1"/>
    <col min="4872" max="4872" width="5.7109375" style="1" customWidth="1"/>
    <col min="4873" max="4873" width="6.85546875" style="1" customWidth="1"/>
    <col min="4874" max="4874" width="6" style="1" customWidth="1"/>
    <col min="4875" max="4875" width="6.7109375" style="1" customWidth="1"/>
    <col min="4876" max="4876" width="6.28515625" style="1" customWidth="1"/>
    <col min="4877" max="4877" width="7.7109375" style="1" customWidth="1"/>
    <col min="4878" max="4878" width="6.28515625" style="1" customWidth="1"/>
    <col min="4879" max="4879" width="7.7109375" style="1" customWidth="1"/>
    <col min="4880" max="5120" width="11.42578125" style="1"/>
    <col min="5121" max="5121" width="22.85546875" style="1" customWidth="1"/>
    <col min="5122" max="5122" width="9" style="1" customWidth="1"/>
    <col min="5123" max="5123" width="5.140625" style="1" customWidth="1"/>
    <col min="5124" max="5124" width="6.42578125" style="1" customWidth="1"/>
    <col min="5125" max="5125" width="8.85546875" style="1" customWidth="1"/>
    <col min="5126" max="5126" width="5.85546875" style="1" customWidth="1"/>
    <col min="5127" max="5127" width="7" style="1" customWidth="1"/>
    <col min="5128" max="5128" width="5.7109375" style="1" customWidth="1"/>
    <col min="5129" max="5129" width="6.85546875" style="1" customWidth="1"/>
    <col min="5130" max="5130" width="6" style="1" customWidth="1"/>
    <col min="5131" max="5131" width="6.7109375" style="1" customWidth="1"/>
    <col min="5132" max="5132" width="6.28515625" style="1" customWidth="1"/>
    <col min="5133" max="5133" width="7.7109375" style="1" customWidth="1"/>
    <col min="5134" max="5134" width="6.28515625" style="1" customWidth="1"/>
    <col min="5135" max="5135" width="7.7109375" style="1" customWidth="1"/>
    <col min="5136" max="5376" width="11.42578125" style="1"/>
    <col min="5377" max="5377" width="22.85546875" style="1" customWidth="1"/>
    <col min="5378" max="5378" width="9" style="1" customWidth="1"/>
    <col min="5379" max="5379" width="5.140625" style="1" customWidth="1"/>
    <col min="5380" max="5380" width="6.42578125" style="1" customWidth="1"/>
    <col min="5381" max="5381" width="8.85546875" style="1" customWidth="1"/>
    <col min="5382" max="5382" width="5.85546875" style="1" customWidth="1"/>
    <col min="5383" max="5383" width="7" style="1" customWidth="1"/>
    <col min="5384" max="5384" width="5.7109375" style="1" customWidth="1"/>
    <col min="5385" max="5385" width="6.85546875" style="1" customWidth="1"/>
    <col min="5386" max="5386" width="6" style="1" customWidth="1"/>
    <col min="5387" max="5387" width="6.7109375" style="1" customWidth="1"/>
    <col min="5388" max="5388" width="6.28515625" style="1" customWidth="1"/>
    <col min="5389" max="5389" width="7.7109375" style="1" customWidth="1"/>
    <col min="5390" max="5390" width="6.28515625" style="1" customWidth="1"/>
    <col min="5391" max="5391" width="7.7109375" style="1" customWidth="1"/>
    <col min="5392" max="5632" width="11.42578125" style="1"/>
    <col min="5633" max="5633" width="22.85546875" style="1" customWidth="1"/>
    <col min="5634" max="5634" width="9" style="1" customWidth="1"/>
    <col min="5635" max="5635" width="5.140625" style="1" customWidth="1"/>
    <col min="5636" max="5636" width="6.42578125" style="1" customWidth="1"/>
    <col min="5637" max="5637" width="8.85546875" style="1" customWidth="1"/>
    <col min="5638" max="5638" width="5.85546875" style="1" customWidth="1"/>
    <col min="5639" max="5639" width="7" style="1" customWidth="1"/>
    <col min="5640" max="5640" width="5.7109375" style="1" customWidth="1"/>
    <col min="5641" max="5641" width="6.85546875" style="1" customWidth="1"/>
    <col min="5642" max="5642" width="6" style="1" customWidth="1"/>
    <col min="5643" max="5643" width="6.7109375" style="1" customWidth="1"/>
    <col min="5644" max="5644" width="6.28515625" style="1" customWidth="1"/>
    <col min="5645" max="5645" width="7.7109375" style="1" customWidth="1"/>
    <col min="5646" max="5646" width="6.28515625" style="1" customWidth="1"/>
    <col min="5647" max="5647" width="7.7109375" style="1" customWidth="1"/>
    <col min="5648" max="5888" width="11.42578125" style="1"/>
    <col min="5889" max="5889" width="22.85546875" style="1" customWidth="1"/>
    <col min="5890" max="5890" width="9" style="1" customWidth="1"/>
    <col min="5891" max="5891" width="5.140625" style="1" customWidth="1"/>
    <col min="5892" max="5892" width="6.42578125" style="1" customWidth="1"/>
    <col min="5893" max="5893" width="8.85546875" style="1" customWidth="1"/>
    <col min="5894" max="5894" width="5.85546875" style="1" customWidth="1"/>
    <col min="5895" max="5895" width="7" style="1" customWidth="1"/>
    <col min="5896" max="5896" width="5.7109375" style="1" customWidth="1"/>
    <col min="5897" max="5897" width="6.85546875" style="1" customWidth="1"/>
    <col min="5898" max="5898" width="6" style="1" customWidth="1"/>
    <col min="5899" max="5899" width="6.7109375" style="1" customWidth="1"/>
    <col min="5900" max="5900" width="6.28515625" style="1" customWidth="1"/>
    <col min="5901" max="5901" width="7.7109375" style="1" customWidth="1"/>
    <col min="5902" max="5902" width="6.28515625" style="1" customWidth="1"/>
    <col min="5903" max="5903" width="7.7109375" style="1" customWidth="1"/>
    <col min="5904" max="6144" width="11.42578125" style="1"/>
    <col min="6145" max="6145" width="22.85546875" style="1" customWidth="1"/>
    <col min="6146" max="6146" width="9" style="1" customWidth="1"/>
    <col min="6147" max="6147" width="5.140625" style="1" customWidth="1"/>
    <col min="6148" max="6148" width="6.42578125" style="1" customWidth="1"/>
    <col min="6149" max="6149" width="8.85546875" style="1" customWidth="1"/>
    <col min="6150" max="6150" width="5.85546875" style="1" customWidth="1"/>
    <col min="6151" max="6151" width="7" style="1" customWidth="1"/>
    <col min="6152" max="6152" width="5.7109375" style="1" customWidth="1"/>
    <col min="6153" max="6153" width="6.85546875" style="1" customWidth="1"/>
    <col min="6154" max="6154" width="6" style="1" customWidth="1"/>
    <col min="6155" max="6155" width="6.7109375" style="1" customWidth="1"/>
    <col min="6156" max="6156" width="6.28515625" style="1" customWidth="1"/>
    <col min="6157" max="6157" width="7.7109375" style="1" customWidth="1"/>
    <col min="6158" max="6158" width="6.28515625" style="1" customWidth="1"/>
    <col min="6159" max="6159" width="7.7109375" style="1" customWidth="1"/>
    <col min="6160" max="6400" width="11.42578125" style="1"/>
    <col min="6401" max="6401" width="22.85546875" style="1" customWidth="1"/>
    <col min="6402" max="6402" width="9" style="1" customWidth="1"/>
    <col min="6403" max="6403" width="5.140625" style="1" customWidth="1"/>
    <col min="6404" max="6404" width="6.42578125" style="1" customWidth="1"/>
    <col min="6405" max="6405" width="8.85546875" style="1" customWidth="1"/>
    <col min="6406" max="6406" width="5.85546875" style="1" customWidth="1"/>
    <col min="6407" max="6407" width="7" style="1" customWidth="1"/>
    <col min="6408" max="6408" width="5.7109375" style="1" customWidth="1"/>
    <col min="6409" max="6409" width="6.85546875" style="1" customWidth="1"/>
    <col min="6410" max="6410" width="6" style="1" customWidth="1"/>
    <col min="6411" max="6411" width="6.7109375" style="1" customWidth="1"/>
    <col min="6412" max="6412" width="6.28515625" style="1" customWidth="1"/>
    <col min="6413" max="6413" width="7.7109375" style="1" customWidth="1"/>
    <col min="6414" max="6414" width="6.28515625" style="1" customWidth="1"/>
    <col min="6415" max="6415" width="7.7109375" style="1" customWidth="1"/>
    <col min="6416" max="6656" width="11.42578125" style="1"/>
    <col min="6657" max="6657" width="22.85546875" style="1" customWidth="1"/>
    <col min="6658" max="6658" width="9" style="1" customWidth="1"/>
    <col min="6659" max="6659" width="5.140625" style="1" customWidth="1"/>
    <col min="6660" max="6660" width="6.42578125" style="1" customWidth="1"/>
    <col min="6661" max="6661" width="8.85546875" style="1" customWidth="1"/>
    <col min="6662" max="6662" width="5.85546875" style="1" customWidth="1"/>
    <col min="6663" max="6663" width="7" style="1" customWidth="1"/>
    <col min="6664" max="6664" width="5.7109375" style="1" customWidth="1"/>
    <col min="6665" max="6665" width="6.85546875" style="1" customWidth="1"/>
    <col min="6666" max="6666" width="6" style="1" customWidth="1"/>
    <col min="6667" max="6667" width="6.7109375" style="1" customWidth="1"/>
    <col min="6668" max="6668" width="6.28515625" style="1" customWidth="1"/>
    <col min="6669" max="6669" width="7.7109375" style="1" customWidth="1"/>
    <col min="6670" max="6670" width="6.28515625" style="1" customWidth="1"/>
    <col min="6671" max="6671" width="7.7109375" style="1" customWidth="1"/>
    <col min="6672" max="6912" width="11.42578125" style="1"/>
    <col min="6913" max="6913" width="22.85546875" style="1" customWidth="1"/>
    <col min="6914" max="6914" width="9" style="1" customWidth="1"/>
    <col min="6915" max="6915" width="5.140625" style="1" customWidth="1"/>
    <col min="6916" max="6916" width="6.42578125" style="1" customWidth="1"/>
    <col min="6917" max="6917" width="8.85546875" style="1" customWidth="1"/>
    <col min="6918" max="6918" width="5.85546875" style="1" customWidth="1"/>
    <col min="6919" max="6919" width="7" style="1" customWidth="1"/>
    <col min="6920" max="6920" width="5.7109375" style="1" customWidth="1"/>
    <col min="6921" max="6921" width="6.85546875" style="1" customWidth="1"/>
    <col min="6922" max="6922" width="6" style="1" customWidth="1"/>
    <col min="6923" max="6923" width="6.7109375" style="1" customWidth="1"/>
    <col min="6924" max="6924" width="6.28515625" style="1" customWidth="1"/>
    <col min="6925" max="6925" width="7.7109375" style="1" customWidth="1"/>
    <col min="6926" max="6926" width="6.28515625" style="1" customWidth="1"/>
    <col min="6927" max="6927" width="7.7109375" style="1" customWidth="1"/>
    <col min="6928" max="7168" width="11.42578125" style="1"/>
    <col min="7169" max="7169" width="22.85546875" style="1" customWidth="1"/>
    <col min="7170" max="7170" width="9" style="1" customWidth="1"/>
    <col min="7171" max="7171" width="5.140625" style="1" customWidth="1"/>
    <col min="7172" max="7172" width="6.42578125" style="1" customWidth="1"/>
    <col min="7173" max="7173" width="8.85546875" style="1" customWidth="1"/>
    <col min="7174" max="7174" width="5.85546875" style="1" customWidth="1"/>
    <col min="7175" max="7175" width="7" style="1" customWidth="1"/>
    <col min="7176" max="7176" width="5.7109375" style="1" customWidth="1"/>
    <col min="7177" max="7177" width="6.85546875" style="1" customWidth="1"/>
    <col min="7178" max="7178" width="6" style="1" customWidth="1"/>
    <col min="7179" max="7179" width="6.7109375" style="1" customWidth="1"/>
    <col min="7180" max="7180" width="6.28515625" style="1" customWidth="1"/>
    <col min="7181" max="7181" width="7.7109375" style="1" customWidth="1"/>
    <col min="7182" max="7182" width="6.28515625" style="1" customWidth="1"/>
    <col min="7183" max="7183" width="7.7109375" style="1" customWidth="1"/>
    <col min="7184" max="7424" width="11.42578125" style="1"/>
    <col min="7425" max="7425" width="22.85546875" style="1" customWidth="1"/>
    <col min="7426" max="7426" width="9" style="1" customWidth="1"/>
    <col min="7427" max="7427" width="5.140625" style="1" customWidth="1"/>
    <col min="7428" max="7428" width="6.42578125" style="1" customWidth="1"/>
    <col min="7429" max="7429" width="8.85546875" style="1" customWidth="1"/>
    <col min="7430" max="7430" width="5.85546875" style="1" customWidth="1"/>
    <col min="7431" max="7431" width="7" style="1" customWidth="1"/>
    <col min="7432" max="7432" width="5.7109375" style="1" customWidth="1"/>
    <col min="7433" max="7433" width="6.85546875" style="1" customWidth="1"/>
    <col min="7434" max="7434" width="6" style="1" customWidth="1"/>
    <col min="7435" max="7435" width="6.7109375" style="1" customWidth="1"/>
    <col min="7436" max="7436" width="6.28515625" style="1" customWidth="1"/>
    <col min="7437" max="7437" width="7.7109375" style="1" customWidth="1"/>
    <col min="7438" max="7438" width="6.28515625" style="1" customWidth="1"/>
    <col min="7439" max="7439" width="7.7109375" style="1" customWidth="1"/>
    <col min="7440" max="7680" width="11.42578125" style="1"/>
    <col min="7681" max="7681" width="22.85546875" style="1" customWidth="1"/>
    <col min="7682" max="7682" width="9" style="1" customWidth="1"/>
    <col min="7683" max="7683" width="5.140625" style="1" customWidth="1"/>
    <col min="7684" max="7684" width="6.42578125" style="1" customWidth="1"/>
    <col min="7685" max="7685" width="8.85546875" style="1" customWidth="1"/>
    <col min="7686" max="7686" width="5.85546875" style="1" customWidth="1"/>
    <col min="7687" max="7687" width="7" style="1" customWidth="1"/>
    <col min="7688" max="7688" width="5.7109375" style="1" customWidth="1"/>
    <col min="7689" max="7689" width="6.85546875" style="1" customWidth="1"/>
    <col min="7690" max="7690" width="6" style="1" customWidth="1"/>
    <col min="7691" max="7691" width="6.7109375" style="1" customWidth="1"/>
    <col min="7692" max="7692" width="6.28515625" style="1" customWidth="1"/>
    <col min="7693" max="7693" width="7.7109375" style="1" customWidth="1"/>
    <col min="7694" max="7694" width="6.28515625" style="1" customWidth="1"/>
    <col min="7695" max="7695" width="7.7109375" style="1" customWidth="1"/>
    <col min="7696" max="7936" width="11.42578125" style="1"/>
    <col min="7937" max="7937" width="22.85546875" style="1" customWidth="1"/>
    <col min="7938" max="7938" width="9" style="1" customWidth="1"/>
    <col min="7939" max="7939" width="5.140625" style="1" customWidth="1"/>
    <col min="7940" max="7940" width="6.42578125" style="1" customWidth="1"/>
    <col min="7941" max="7941" width="8.85546875" style="1" customWidth="1"/>
    <col min="7942" max="7942" width="5.85546875" style="1" customWidth="1"/>
    <col min="7943" max="7943" width="7" style="1" customWidth="1"/>
    <col min="7944" max="7944" width="5.7109375" style="1" customWidth="1"/>
    <col min="7945" max="7945" width="6.85546875" style="1" customWidth="1"/>
    <col min="7946" max="7946" width="6" style="1" customWidth="1"/>
    <col min="7947" max="7947" width="6.7109375" style="1" customWidth="1"/>
    <col min="7948" max="7948" width="6.28515625" style="1" customWidth="1"/>
    <col min="7949" max="7949" width="7.7109375" style="1" customWidth="1"/>
    <col min="7950" max="7950" width="6.28515625" style="1" customWidth="1"/>
    <col min="7951" max="7951" width="7.7109375" style="1" customWidth="1"/>
    <col min="7952" max="8192" width="11.42578125" style="1"/>
    <col min="8193" max="8193" width="22.85546875" style="1" customWidth="1"/>
    <col min="8194" max="8194" width="9" style="1" customWidth="1"/>
    <col min="8195" max="8195" width="5.140625" style="1" customWidth="1"/>
    <col min="8196" max="8196" width="6.42578125" style="1" customWidth="1"/>
    <col min="8197" max="8197" width="8.85546875" style="1" customWidth="1"/>
    <col min="8198" max="8198" width="5.85546875" style="1" customWidth="1"/>
    <col min="8199" max="8199" width="7" style="1" customWidth="1"/>
    <col min="8200" max="8200" width="5.7109375" style="1" customWidth="1"/>
    <col min="8201" max="8201" width="6.85546875" style="1" customWidth="1"/>
    <col min="8202" max="8202" width="6" style="1" customWidth="1"/>
    <col min="8203" max="8203" width="6.7109375" style="1" customWidth="1"/>
    <col min="8204" max="8204" width="6.28515625" style="1" customWidth="1"/>
    <col min="8205" max="8205" width="7.7109375" style="1" customWidth="1"/>
    <col min="8206" max="8206" width="6.28515625" style="1" customWidth="1"/>
    <col min="8207" max="8207" width="7.7109375" style="1" customWidth="1"/>
    <col min="8208" max="8448" width="11.42578125" style="1"/>
    <col min="8449" max="8449" width="22.85546875" style="1" customWidth="1"/>
    <col min="8450" max="8450" width="9" style="1" customWidth="1"/>
    <col min="8451" max="8451" width="5.140625" style="1" customWidth="1"/>
    <col min="8452" max="8452" width="6.42578125" style="1" customWidth="1"/>
    <col min="8453" max="8453" width="8.85546875" style="1" customWidth="1"/>
    <col min="8454" max="8454" width="5.85546875" style="1" customWidth="1"/>
    <col min="8455" max="8455" width="7" style="1" customWidth="1"/>
    <col min="8456" max="8456" width="5.7109375" style="1" customWidth="1"/>
    <col min="8457" max="8457" width="6.85546875" style="1" customWidth="1"/>
    <col min="8458" max="8458" width="6" style="1" customWidth="1"/>
    <col min="8459" max="8459" width="6.7109375" style="1" customWidth="1"/>
    <col min="8460" max="8460" width="6.28515625" style="1" customWidth="1"/>
    <col min="8461" max="8461" width="7.7109375" style="1" customWidth="1"/>
    <col min="8462" max="8462" width="6.28515625" style="1" customWidth="1"/>
    <col min="8463" max="8463" width="7.7109375" style="1" customWidth="1"/>
    <col min="8464" max="8704" width="11.42578125" style="1"/>
    <col min="8705" max="8705" width="22.85546875" style="1" customWidth="1"/>
    <col min="8706" max="8706" width="9" style="1" customWidth="1"/>
    <col min="8707" max="8707" width="5.140625" style="1" customWidth="1"/>
    <col min="8708" max="8708" width="6.42578125" style="1" customWidth="1"/>
    <col min="8709" max="8709" width="8.85546875" style="1" customWidth="1"/>
    <col min="8710" max="8710" width="5.85546875" style="1" customWidth="1"/>
    <col min="8711" max="8711" width="7" style="1" customWidth="1"/>
    <col min="8712" max="8712" width="5.7109375" style="1" customWidth="1"/>
    <col min="8713" max="8713" width="6.85546875" style="1" customWidth="1"/>
    <col min="8714" max="8714" width="6" style="1" customWidth="1"/>
    <col min="8715" max="8715" width="6.7109375" style="1" customWidth="1"/>
    <col min="8716" max="8716" width="6.28515625" style="1" customWidth="1"/>
    <col min="8717" max="8717" width="7.7109375" style="1" customWidth="1"/>
    <col min="8718" max="8718" width="6.28515625" style="1" customWidth="1"/>
    <col min="8719" max="8719" width="7.7109375" style="1" customWidth="1"/>
    <col min="8720" max="8960" width="11.42578125" style="1"/>
    <col min="8961" max="8961" width="22.85546875" style="1" customWidth="1"/>
    <col min="8962" max="8962" width="9" style="1" customWidth="1"/>
    <col min="8963" max="8963" width="5.140625" style="1" customWidth="1"/>
    <col min="8964" max="8964" width="6.42578125" style="1" customWidth="1"/>
    <col min="8965" max="8965" width="8.85546875" style="1" customWidth="1"/>
    <col min="8966" max="8966" width="5.85546875" style="1" customWidth="1"/>
    <col min="8967" max="8967" width="7" style="1" customWidth="1"/>
    <col min="8968" max="8968" width="5.7109375" style="1" customWidth="1"/>
    <col min="8969" max="8969" width="6.85546875" style="1" customWidth="1"/>
    <col min="8970" max="8970" width="6" style="1" customWidth="1"/>
    <col min="8971" max="8971" width="6.7109375" style="1" customWidth="1"/>
    <col min="8972" max="8972" width="6.28515625" style="1" customWidth="1"/>
    <col min="8973" max="8973" width="7.7109375" style="1" customWidth="1"/>
    <col min="8974" max="8974" width="6.28515625" style="1" customWidth="1"/>
    <col min="8975" max="8975" width="7.7109375" style="1" customWidth="1"/>
    <col min="8976" max="9216" width="11.42578125" style="1"/>
    <col min="9217" max="9217" width="22.85546875" style="1" customWidth="1"/>
    <col min="9218" max="9218" width="9" style="1" customWidth="1"/>
    <col min="9219" max="9219" width="5.140625" style="1" customWidth="1"/>
    <col min="9220" max="9220" width="6.42578125" style="1" customWidth="1"/>
    <col min="9221" max="9221" width="8.85546875" style="1" customWidth="1"/>
    <col min="9222" max="9222" width="5.85546875" style="1" customWidth="1"/>
    <col min="9223" max="9223" width="7" style="1" customWidth="1"/>
    <col min="9224" max="9224" width="5.7109375" style="1" customWidth="1"/>
    <col min="9225" max="9225" width="6.85546875" style="1" customWidth="1"/>
    <col min="9226" max="9226" width="6" style="1" customWidth="1"/>
    <col min="9227" max="9227" width="6.7109375" style="1" customWidth="1"/>
    <col min="9228" max="9228" width="6.28515625" style="1" customWidth="1"/>
    <col min="9229" max="9229" width="7.7109375" style="1" customWidth="1"/>
    <col min="9230" max="9230" width="6.28515625" style="1" customWidth="1"/>
    <col min="9231" max="9231" width="7.7109375" style="1" customWidth="1"/>
    <col min="9232" max="9472" width="11.42578125" style="1"/>
    <col min="9473" max="9473" width="22.85546875" style="1" customWidth="1"/>
    <col min="9474" max="9474" width="9" style="1" customWidth="1"/>
    <col min="9475" max="9475" width="5.140625" style="1" customWidth="1"/>
    <col min="9476" max="9476" width="6.42578125" style="1" customWidth="1"/>
    <col min="9477" max="9477" width="8.85546875" style="1" customWidth="1"/>
    <col min="9478" max="9478" width="5.85546875" style="1" customWidth="1"/>
    <col min="9479" max="9479" width="7" style="1" customWidth="1"/>
    <col min="9480" max="9480" width="5.7109375" style="1" customWidth="1"/>
    <col min="9481" max="9481" width="6.85546875" style="1" customWidth="1"/>
    <col min="9482" max="9482" width="6" style="1" customWidth="1"/>
    <col min="9483" max="9483" width="6.7109375" style="1" customWidth="1"/>
    <col min="9484" max="9484" width="6.28515625" style="1" customWidth="1"/>
    <col min="9485" max="9485" width="7.7109375" style="1" customWidth="1"/>
    <col min="9486" max="9486" width="6.28515625" style="1" customWidth="1"/>
    <col min="9487" max="9487" width="7.7109375" style="1" customWidth="1"/>
    <col min="9488" max="9728" width="11.42578125" style="1"/>
    <col min="9729" max="9729" width="22.85546875" style="1" customWidth="1"/>
    <col min="9730" max="9730" width="9" style="1" customWidth="1"/>
    <col min="9731" max="9731" width="5.140625" style="1" customWidth="1"/>
    <col min="9732" max="9732" width="6.42578125" style="1" customWidth="1"/>
    <col min="9733" max="9733" width="8.85546875" style="1" customWidth="1"/>
    <col min="9734" max="9734" width="5.85546875" style="1" customWidth="1"/>
    <col min="9735" max="9735" width="7" style="1" customWidth="1"/>
    <col min="9736" max="9736" width="5.7109375" style="1" customWidth="1"/>
    <col min="9737" max="9737" width="6.85546875" style="1" customWidth="1"/>
    <col min="9738" max="9738" width="6" style="1" customWidth="1"/>
    <col min="9739" max="9739" width="6.7109375" style="1" customWidth="1"/>
    <col min="9740" max="9740" width="6.28515625" style="1" customWidth="1"/>
    <col min="9741" max="9741" width="7.7109375" style="1" customWidth="1"/>
    <col min="9742" max="9742" width="6.28515625" style="1" customWidth="1"/>
    <col min="9743" max="9743" width="7.7109375" style="1" customWidth="1"/>
    <col min="9744" max="9984" width="11.42578125" style="1"/>
    <col min="9985" max="9985" width="22.85546875" style="1" customWidth="1"/>
    <col min="9986" max="9986" width="9" style="1" customWidth="1"/>
    <col min="9987" max="9987" width="5.140625" style="1" customWidth="1"/>
    <col min="9988" max="9988" width="6.42578125" style="1" customWidth="1"/>
    <col min="9989" max="9989" width="8.85546875" style="1" customWidth="1"/>
    <col min="9990" max="9990" width="5.85546875" style="1" customWidth="1"/>
    <col min="9991" max="9991" width="7" style="1" customWidth="1"/>
    <col min="9992" max="9992" width="5.7109375" style="1" customWidth="1"/>
    <col min="9993" max="9993" width="6.85546875" style="1" customWidth="1"/>
    <col min="9994" max="9994" width="6" style="1" customWidth="1"/>
    <col min="9995" max="9995" width="6.7109375" style="1" customWidth="1"/>
    <col min="9996" max="9996" width="6.28515625" style="1" customWidth="1"/>
    <col min="9997" max="9997" width="7.7109375" style="1" customWidth="1"/>
    <col min="9998" max="9998" width="6.28515625" style="1" customWidth="1"/>
    <col min="9999" max="9999" width="7.7109375" style="1" customWidth="1"/>
    <col min="10000" max="10240" width="11.42578125" style="1"/>
    <col min="10241" max="10241" width="22.85546875" style="1" customWidth="1"/>
    <col min="10242" max="10242" width="9" style="1" customWidth="1"/>
    <col min="10243" max="10243" width="5.140625" style="1" customWidth="1"/>
    <col min="10244" max="10244" width="6.42578125" style="1" customWidth="1"/>
    <col min="10245" max="10245" width="8.85546875" style="1" customWidth="1"/>
    <col min="10246" max="10246" width="5.85546875" style="1" customWidth="1"/>
    <col min="10247" max="10247" width="7" style="1" customWidth="1"/>
    <col min="10248" max="10248" width="5.7109375" style="1" customWidth="1"/>
    <col min="10249" max="10249" width="6.85546875" style="1" customWidth="1"/>
    <col min="10250" max="10250" width="6" style="1" customWidth="1"/>
    <col min="10251" max="10251" width="6.7109375" style="1" customWidth="1"/>
    <col min="10252" max="10252" width="6.28515625" style="1" customWidth="1"/>
    <col min="10253" max="10253" width="7.7109375" style="1" customWidth="1"/>
    <col min="10254" max="10254" width="6.28515625" style="1" customWidth="1"/>
    <col min="10255" max="10255" width="7.7109375" style="1" customWidth="1"/>
    <col min="10256" max="10496" width="11.42578125" style="1"/>
    <col min="10497" max="10497" width="22.85546875" style="1" customWidth="1"/>
    <col min="10498" max="10498" width="9" style="1" customWidth="1"/>
    <col min="10499" max="10499" width="5.140625" style="1" customWidth="1"/>
    <col min="10500" max="10500" width="6.42578125" style="1" customWidth="1"/>
    <col min="10501" max="10501" width="8.85546875" style="1" customWidth="1"/>
    <col min="10502" max="10502" width="5.85546875" style="1" customWidth="1"/>
    <col min="10503" max="10503" width="7" style="1" customWidth="1"/>
    <col min="10504" max="10504" width="5.7109375" style="1" customWidth="1"/>
    <col min="10505" max="10505" width="6.85546875" style="1" customWidth="1"/>
    <col min="10506" max="10506" width="6" style="1" customWidth="1"/>
    <col min="10507" max="10507" width="6.7109375" style="1" customWidth="1"/>
    <col min="10508" max="10508" width="6.28515625" style="1" customWidth="1"/>
    <col min="10509" max="10509" width="7.7109375" style="1" customWidth="1"/>
    <col min="10510" max="10510" width="6.28515625" style="1" customWidth="1"/>
    <col min="10511" max="10511" width="7.7109375" style="1" customWidth="1"/>
    <col min="10512" max="10752" width="11.42578125" style="1"/>
    <col min="10753" max="10753" width="22.85546875" style="1" customWidth="1"/>
    <col min="10754" max="10754" width="9" style="1" customWidth="1"/>
    <col min="10755" max="10755" width="5.140625" style="1" customWidth="1"/>
    <col min="10756" max="10756" width="6.42578125" style="1" customWidth="1"/>
    <col min="10757" max="10757" width="8.85546875" style="1" customWidth="1"/>
    <col min="10758" max="10758" width="5.85546875" style="1" customWidth="1"/>
    <col min="10759" max="10759" width="7" style="1" customWidth="1"/>
    <col min="10760" max="10760" width="5.7109375" style="1" customWidth="1"/>
    <col min="10761" max="10761" width="6.85546875" style="1" customWidth="1"/>
    <col min="10762" max="10762" width="6" style="1" customWidth="1"/>
    <col min="10763" max="10763" width="6.7109375" style="1" customWidth="1"/>
    <col min="10764" max="10764" width="6.28515625" style="1" customWidth="1"/>
    <col min="10765" max="10765" width="7.7109375" style="1" customWidth="1"/>
    <col min="10766" max="10766" width="6.28515625" style="1" customWidth="1"/>
    <col min="10767" max="10767" width="7.7109375" style="1" customWidth="1"/>
    <col min="10768" max="11008" width="11.42578125" style="1"/>
    <col min="11009" max="11009" width="22.85546875" style="1" customWidth="1"/>
    <col min="11010" max="11010" width="9" style="1" customWidth="1"/>
    <col min="11011" max="11011" width="5.140625" style="1" customWidth="1"/>
    <col min="11012" max="11012" width="6.42578125" style="1" customWidth="1"/>
    <col min="11013" max="11013" width="8.85546875" style="1" customWidth="1"/>
    <col min="11014" max="11014" width="5.85546875" style="1" customWidth="1"/>
    <col min="11015" max="11015" width="7" style="1" customWidth="1"/>
    <col min="11016" max="11016" width="5.7109375" style="1" customWidth="1"/>
    <col min="11017" max="11017" width="6.85546875" style="1" customWidth="1"/>
    <col min="11018" max="11018" width="6" style="1" customWidth="1"/>
    <col min="11019" max="11019" width="6.7109375" style="1" customWidth="1"/>
    <col min="11020" max="11020" width="6.28515625" style="1" customWidth="1"/>
    <col min="11021" max="11021" width="7.7109375" style="1" customWidth="1"/>
    <col min="11022" max="11022" width="6.28515625" style="1" customWidth="1"/>
    <col min="11023" max="11023" width="7.7109375" style="1" customWidth="1"/>
    <col min="11024" max="11264" width="11.42578125" style="1"/>
    <col min="11265" max="11265" width="22.85546875" style="1" customWidth="1"/>
    <col min="11266" max="11266" width="9" style="1" customWidth="1"/>
    <col min="11267" max="11267" width="5.140625" style="1" customWidth="1"/>
    <col min="11268" max="11268" width="6.42578125" style="1" customWidth="1"/>
    <col min="11269" max="11269" width="8.85546875" style="1" customWidth="1"/>
    <col min="11270" max="11270" width="5.85546875" style="1" customWidth="1"/>
    <col min="11271" max="11271" width="7" style="1" customWidth="1"/>
    <col min="11272" max="11272" width="5.7109375" style="1" customWidth="1"/>
    <col min="11273" max="11273" width="6.85546875" style="1" customWidth="1"/>
    <col min="11274" max="11274" width="6" style="1" customWidth="1"/>
    <col min="11275" max="11275" width="6.7109375" style="1" customWidth="1"/>
    <col min="11276" max="11276" width="6.28515625" style="1" customWidth="1"/>
    <col min="11277" max="11277" width="7.7109375" style="1" customWidth="1"/>
    <col min="11278" max="11278" width="6.28515625" style="1" customWidth="1"/>
    <col min="11279" max="11279" width="7.7109375" style="1" customWidth="1"/>
    <col min="11280" max="11520" width="11.42578125" style="1"/>
    <col min="11521" max="11521" width="22.85546875" style="1" customWidth="1"/>
    <col min="11522" max="11522" width="9" style="1" customWidth="1"/>
    <col min="11523" max="11523" width="5.140625" style="1" customWidth="1"/>
    <col min="11524" max="11524" width="6.42578125" style="1" customWidth="1"/>
    <col min="11525" max="11525" width="8.85546875" style="1" customWidth="1"/>
    <col min="11526" max="11526" width="5.85546875" style="1" customWidth="1"/>
    <col min="11527" max="11527" width="7" style="1" customWidth="1"/>
    <col min="11528" max="11528" width="5.7109375" style="1" customWidth="1"/>
    <col min="11529" max="11529" width="6.85546875" style="1" customWidth="1"/>
    <col min="11530" max="11530" width="6" style="1" customWidth="1"/>
    <col min="11531" max="11531" width="6.7109375" style="1" customWidth="1"/>
    <col min="11532" max="11532" width="6.28515625" style="1" customWidth="1"/>
    <col min="11533" max="11533" width="7.7109375" style="1" customWidth="1"/>
    <col min="11534" max="11534" width="6.28515625" style="1" customWidth="1"/>
    <col min="11535" max="11535" width="7.7109375" style="1" customWidth="1"/>
    <col min="11536" max="11776" width="11.42578125" style="1"/>
    <col min="11777" max="11777" width="22.85546875" style="1" customWidth="1"/>
    <col min="11778" max="11778" width="9" style="1" customWidth="1"/>
    <col min="11779" max="11779" width="5.140625" style="1" customWidth="1"/>
    <col min="11780" max="11780" width="6.42578125" style="1" customWidth="1"/>
    <col min="11781" max="11781" width="8.85546875" style="1" customWidth="1"/>
    <col min="11782" max="11782" width="5.85546875" style="1" customWidth="1"/>
    <col min="11783" max="11783" width="7" style="1" customWidth="1"/>
    <col min="11784" max="11784" width="5.7109375" style="1" customWidth="1"/>
    <col min="11785" max="11785" width="6.85546875" style="1" customWidth="1"/>
    <col min="11786" max="11786" width="6" style="1" customWidth="1"/>
    <col min="11787" max="11787" width="6.7109375" style="1" customWidth="1"/>
    <col min="11788" max="11788" width="6.28515625" style="1" customWidth="1"/>
    <col min="11789" max="11789" width="7.7109375" style="1" customWidth="1"/>
    <col min="11790" max="11790" width="6.28515625" style="1" customWidth="1"/>
    <col min="11791" max="11791" width="7.7109375" style="1" customWidth="1"/>
    <col min="11792" max="12032" width="11.42578125" style="1"/>
    <col min="12033" max="12033" width="22.85546875" style="1" customWidth="1"/>
    <col min="12034" max="12034" width="9" style="1" customWidth="1"/>
    <col min="12035" max="12035" width="5.140625" style="1" customWidth="1"/>
    <col min="12036" max="12036" width="6.42578125" style="1" customWidth="1"/>
    <col min="12037" max="12037" width="8.85546875" style="1" customWidth="1"/>
    <col min="12038" max="12038" width="5.85546875" style="1" customWidth="1"/>
    <col min="12039" max="12039" width="7" style="1" customWidth="1"/>
    <col min="12040" max="12040" width="5.7109375" style="1" customWidth="1"/>
    <col min="12041" max="12041" width="6.85546875" style="1" customWidth="1"/>
    <col min="12042" max="12042" width="6" style="1" customWidth="1"/>
    <col min="12043" max="12043" width="6.7109375" style="1" customWidth="1"/>
    <col min="12044" max="12044" width="6.28515625" style="1" customWidth="1"/>
    <col min="12045" max="12045" width="7.7109375" style="1" customWidth="1"/>
    <col min="12046" max="12046" width="6.28515625" style="1" customWidth="1"/>
    <col min="12047" max="12047" width="7.7109375" style="1" customWidth="1"/>
    <col min="12048" max="12288" width="11.42578125" style="1"/>
    <col min="12289" max="12289" width="22.85546875" style="1" customWidth="1"/>
    <col min="12290" max="12290" width="9" style="1" customWidth="1"/>
    <col min="12291" max="12291" width="5.140625" style="1" customWidth="1"/>
    <col min="12292" max="12292" width="6.42578125" style="1" customWidth="1"/>
    <col min="12293" max="12293" width="8.85546875" style="1" customWidth="1"/>
    <col min="12294" max="12294" width="5.85546875" style="1" customWidth="1"/>
    <col min="12295" max="12295" width="7" style="1" customWidth="1"/>
    <col min="12296" max="12296" width="5.7109375" style="1" customWidth="1"/>
    <col min="12297" max="12297" width="6.85546875" style="1" customWidth="1"/>
    <col min="12298" max="12298" width="6" style="1" customWidth="1"/>
    <col min="12299" max="12299" width="6.7109375" style="1" customWidth="1"/>
    <col min="12300" max="12300" width="6.28515625" style="1" customWidth="1"/>
    <col min="12301" max="12301" width="7.7109375" style="1" customWidth="1"/>
    <col min="12302" max="12302" width="6.28515625" style="1" customWidth="1"/>
    <col min="12303" max="12303" width="7.7109375" style="1" customWidth="1"/>
    <col min="12304" max="12544" width="11.42578125" style="1"/>
    <col min="12545" max="12545" width="22.85546875" style="1" customWidth="1"/>
    <col min="12546" max="12546" width="9" style="1" customWidth="1"/>
    <col min="12547" max="12547" width="5.140625" style="1" customWidth="1"/>
    <col min="12548" max="12548" width="6.42578125" style="1" customWidth="1"/>
    <col min="12549" max="12549" width="8.85546875" style="1" customWidth="1"/>
    <col min="12550" max="12550" width="5.85546875" style="1" customWidth="1"/>
    <col min="12551" max="12551" width="7" style="1" customWidth="1"/>
    <col min="12552" max="12552" width="5.7109375" style="1" customWidth="1"/>
    <col min="12553" max="12553" width="6.85546875" style="1" customWidth="1"/>
    <col min="12554" max="12554" width="6" style="1" customWidth="1"/>
    <col min="12555" max="12555" width="6.7109375" style="1" customWidth="1"/>
    <col min="12556" max="12556" width="6.28515625" style="1" customWidth="1"/>
    <col min="12557" max="12557" width="7.7109375" style="1" customWidth="1"/>
    <col min="12558" max="12558" width="6.28515625" style="1" customWidth="1"/>
    <col min="12559" max="12559" width="7.7109375" style="1" customWidth="1"/>
    <col min="12560" max="12800" width="11.42578125" style="1"/>
    <col min="12801" max="12801" width="22.85546875" style="1" customWidth="1"/>
    <col min="12802" max="12802" width="9" style="1" customWidth="1"/>
    <col min="12803" max="12803" width="5.140625" style="1" customWidth="1"/>
    <col min="12804" max="12804" width="6.42578125" style="1" customWidth="1"/>
    <col min="12805" max="12805" width="8.85546875" style="1" customWidth="1"/>
    <col min="12806" max="12806" width="5.85546875" style="1" customWidth="1"/>
    <col min="12807" max="12807" width="7" style="1" customWidth="1"/>
    <col min="12808" max="12808" width="5.7109375" style="1" customWidth="1"/>
    <col min="12809" max="12809" width="6.85546875" style="1" customWidth="1"/>
    <col min="12810" max="12810" width="6" style="1" customWidth="1"/>
    <col min="12811" max="12811" width="6.7109375" style="1" customWidth="1"/>
    <col min="12812" max="12812" width="6.28515625" style="1" customWidth="1"/>
    <col min="12813" max="12813" width="7.7109375" style="1" customWidth="1"/>
    <col min="12814" max="12814" width="6.28515625" style="1" customWidth="1"/>
    <col min="12815" max="12815" width="7.7109375" style="1" customWidth="1"/>
    <col min="12816" max="13056" width="11.42578125" style="1"/>
    <col min="13057" max="13057" width="22.85546875" style="1" customWidth="1"/>
    <col min="13058" max="13058" width="9" style="1" customWidth="1"/>
    <col min="13059" max="13059" width="5.140625" style="1" customWidth="1"/>
    <col min="13060" max="13060" width="6.42578125" style="1" customWidth="1"/>
    <col min="13061" max="13061" width="8.85546875" style="1" customWidth="1"/>
    <col min="13062" max="13062" width="5.85546875" style="1" customWidth="1"/>
    <col min="13063" max="13063" width="7" style="1" customWidth="1"/>
    <col min="13064" max="13064" width="5.7109375" style="1" customWidth="1"/>
    <col min="13065" max="13065" width="6.85546875" style="1" customWidth="1"/>
    <col min="13066" max="13066" width="6" style="1" customWidth="1"/>
    <col min="13067" max="13067" width="6.7109375" style="1" customWidth="1"/>
    <col min="13068" max="13068" width="6.28515625" style="1" customWidth="1"/>
    <col min="13069" max="13069" width="7.7109375" style="1" customWidth="1"/>
    <col min="13070" max="13070" width="6.28515625" style="1" customWidth="1"/>
    <col min="13071" max="13071" width="7.7109375" style="1" customWidth="1"/>
    <col min="13072" max="13312" width="11.42578125" style="1"/>
    <col min="13313" max="13313" width="22.85546875" style="1" customWidth="1"/>
    <col min="13314" max="13314" width="9" style="1" customWidth="1"/>
    <col min="13315" max="13315" width="5.140625" style="1" customWidth="1"/>
    <col min="13316" max="13316" width="6.42578125" style="1" customWidth="1"/>
    <col min="13317" max="13317" width="8.85546875" style="1" customWidth="1"/>
    <col min="13318" max="13318" width="5.85546875" style="1" customWidth="1"/>
    <col min="13319" max="13319" width="7" style="1" customWidth="1"/>
    <col min="13320" max="13320" width="5.7109375" style="1" customWidth="1"/>
    <col min="13321" max="13321" width="6.85546875" style="1" customWidth="1"/>
    <col min="13322" max="13322" width="6" style="1" customWidth="1"/>
    <col min="13323" max="13323" width="6.7109375" style="1" customWidth="1"/>
    <col min="13324" max="13324" width="6.28515625" style="1" customWidth="1"/>
    <col min="13325" max="13325" width="7.7109375" style="1" customWidth="1"/>
    <col min="13326" max="13326" width="6.28515625" style="1" customWidth="1"/>
    <col min="13327" max="13327" width="7.7109375" style="1" customWidth="1"/>
    <col min="13328" max="13568" width="11.42578125" style="1"/>
    <col min="13569" max="13569" width="22.85546875" style="1" customWidth="1"/>
    <col min="13570" max="13570" width="9" style="1" customWidth="1"/>
    <col min="13571" max="13571" width="5.140625" style="1" customWidth="1"/>
    <col min="13572" max="13572" width="6.42578125" style="1" customWidth="1"/>
    <col min="13573" max="13573" width="8.85546875" style="1" customWidth="1"/>
    <col min="13574" max="13574" width="5.85546875" style="1" customWidth="1"/>
    <col min="13575" max="13575" width="7" style="1" customWidth="1"/>
    <col min="13576" max="13576" width="5.7109375" style="1" customWidth="1"/>
    <col min="13577" max="13577" width="6.85546875" style="1" customWidth="1"/>
    <col min="13578" max="13578" width="6" style="1" customWidth="1"/>
    <col min="13579" max="13579" width="6.7109375" style="1" customWidth="1"/>
    <col min="13580" max="13580" width="6.28515625" style="1" customWidth="1"/>
    <col min="13581" max="13581" width="7.7109375" style="1" customWidth="1"/>
    <col min="13582" max="13582" width="6.28515625" style="1" customWidth="1"/>
    <col min="13583" max="13583" width="7.7109375" style="1" customWidth="1"/>
    <col min="13584" max="13824" width="11.42578125" style="1"/>
    <col min="13825" max="13825" width="22.85546875" style="1" customWidth="1"/>
    <col min="13826" max="13826" width="9" style="1" customWidth="1"/>
    <col min="13827" max="13827" width="5.140625" style="1" customWidth="1"/>
    <col min="13828" max="13828" width="6.42578125" style="1" customWidth="1"/>
    <col min="13829" max="13829" width="8.85546875" style="1" customWidth="1"/>
    <col min="13830" max="13830" width="5.85546875" style="1" customWidth="1"/>
    <col min="13831" max="13831" width="7" style="1" customWidth="1"/>
    <col min="13832" max="13832" width="5.7109375" style="1" customWidth="1"/>
    <col min="13833" max="13833" width="6.85546875" style="1" customWidth="1"/>
    <col min="13834" max="13834" width="6" style="1" customWidth="1"/>
    <col min="13835" max="13835" width="6.7109375" style="1" customWidth="1"/>
    <col min="13836" max="13836" width="6.28515625" style="1" customWidth="1"/>
    <col min="13837" max="13837" width="7.7109375" style="1" customWidth="1"/>
    <col min="13838" max="13838" width="6.28515625" style="1" customWidth="1"/>
    <col min="13839" max="13839" width="7.7109375" style="1" customWidth="1"/>
    <col min="13840" max="14080" width="11.42578125" style="1"/>
    <col min="14081" max="14081" width="22.85546875" style="1" customWidth="1"/>
    <col min="14082" max="14082" width="9" style="1" customWidth="1"/>
    <col min="14083" max="14083" width="5.140625" style="1" customWidth="1"/>
    <col min="14084" max="14084" width="6.42578125" style="1" customWidth="1"/>
    <col min="14085" max="14085" width="8.85546875" style="1" customWidth="1"/>
    <col min="14086" max="14086" width="5.85546875" style="1" customWidth="1"/>
    <col min="14087" max="14087" width="7" style="1" customWidth="1"/>
    <col min="14088" max="14088" width="5.7109375" style="1" customWidth="1"/>
    <col min="14089" max="14089" width="6.85546875" style="1" customWidth="1"/>
    <col min="14090" max="14090" width="6" style="1" customWidth="1"/>
    <col min="14091" max="14091" width="6.7109375" style="1" customWidth="1"/>
    <col min="14092" max="14092" width="6.28515625" style="1" customWidth="1"/>
    <col min="14093" max="14093" width="7.7109375" style="1" customWidth="1"/>
    <col min="14094" max="14094" width="6.28515625" style="1" customWidth="1"/>
    <col min="14095" max="14095" width="7.7109375" style="1" customWidth="1"/>
    <col min="14096" max="14336" width="11.42578125" style="1"/>
    <col min="14337" max="14337" width="22.85546875" style="1" customWidth="1"/>
    <col min="14338" max="14338" width="9" style="1" customWidth="1"/>
    <col min="14339" max="14339" width="5.140625" style="1" customWidth="1"/>
    <col min="14340" max="14340" width="6.42578125" style="1" customWidth="1"/>
    <col min="14341" max="14341" width="8.85546875" style="1" customWidth="1"/>
    <col min="14342" max="14342" width="5.85546875" style="1" customWidth="1"/>
    <col min="14343" max="14343" width="7" style="1" customWidth="1"/>
    <col min="14344" max="14344" width="5.7109375" style="1" customWidth="1"/>
    <col min="14345" max="14345" width="6.85546875" style="1" customWidth="1"/>
    <col min="14346" max="14346" width="6" style="1" customWidth="1"/>
    <col min="14347" max="14347" width="6.7109375" style="1" customWidth="1"/>
    <col min="14348" max="14348" width="6.28515625" style="1" customWidth="1"/>
    <col min="14349" max="14349" width="7.7109375" style="1" customWidth="1"/>
    <col min="14350" max="14350" width="6.28515625" style="1" customWidth="1"/>
    <col min="14351" max="14351" width="7.7109375" style="1" customWidth="1"/>
    <col min="14352" max="14592" width="11.42578125" style="1"/>
    <col min="14593" max="14593" width="22.85546875" style="1" customWidth="1"/>
    <col min="14594" max="14594" width="9" style="1" customWidth="1"/>
    <col min="14595" max="14595" width="5.140625" style="1" customWidth="1"/>
    <col min="14596" max="14596" width="6.42578125" style="1" customWidth="1"/>
    <col min="14597" max="14597" width="8.85546875" style="1" customWidth="1"/>
    <col min="14598" max="14598" width="5.85546875" style="1" customWidth="1"/>
    <col min="14599" max="14599" width="7" style="1" customWidth="1"/>
    <col min="14600" max="14600" width="5.7109375" style="1" customWidth="1"/>
    <col min="14601" max="14601" width="6.85546875" style="1" customWidth="1"/>
    <col min="14602" max="14602" width="6" style="1" customWidth="1"/>
    <col min="14603" max="14603" width="6.7109375" style="1" customWidth="1"/>
    <col min="14604" max="14604" width="6.28515625" style="1" customWidth="1"/>
    <col min="14605" max="14605" width="7.7109375" style="1" customWidth="1"/>
    <col min="14606" max="14606" width="6.28515625" style="1" customWidth="1"/>
    <col min="14607" max="14607" width="7.7109375" style="1" customWidth="1"/>
    <col min="14608" max="14848" width="11.42578125" style="1"/>
    <col min="14849" max="14849" width="22.85546875" style="1" customWidth="1"/>
    <col min="14850" max="14850" width="9" style="1" customWidth="1"/>
    <col min="14851" max="14851" width="5.140625" style="1" customWidth="1"/>
    <col min="14852" max="14852" width="6.42578125" style="1" customWidth="1"/>
    <col min="14853" max="14853" width="8.85546875" style="1" customWidth="1"/>
    <col min="14854" max="14854" width="5.85546875" style="1" customWidth="1"/>
    <col min="14855" max="14855" width="7" style="1" customWidth="1"/>
    <col min="14856" max="14856" width="5.7109375" style="1" customWidth="1"/>
    <col min="14857" max="14857" width="6.85546875" style="1" customWidth="1"/>
    <col min="14858" max="14858" width="6" style="1" customWidth="1"/>
    <col min="14859" max="14859" width="6.7109375" style="1" customWidth="1"/>
    <col min="14860" max="14860" width="6.28515625" style="1" customWidth="1"/>
    <col min="14861" max="14861" width="7.7109375" style="1" customWidth="1"/>
    <col min="14862" max="14862" width="6.28515625" style="1" customWidth="1"/>
    <col min="14863" max="14863" width="7.7109375" style="1" customWidth="1"/>
    <col min="14864" max="15104" width="11.42578125" style="1"/>
    <col min="15105" max="15105" width="22.85546875" style="1" customWidth="1"/>
    <col min="15106" max="15106" width="9" style="1" customWidth="1"/>
    <col min="15107" max="15107" width="5.140625" style="1" customWidth="1"/>
    <col min="15108" max="15108" width="6.42578125" style="1" customWidth="1"/>
    <col min="15109" max="15109" width="8.85546875" style="1" customWidth="1"/>
    <col min="15110" max="15110" width="5.85546875" style="1" customWidth="1"/>
    <col min="15111" max="15111" width="7" style="1" customWidth="1"/>
    <col min="15112" max="15112" width="5.7109375" style="1" customWidth="1"/>
    <col min="15113" max="15113" width="6.85546875" style="1" customWidth="1"/>
    <col min="15114" max="15114" width="6" style="1" customWidth="1"/>
    <col min="15115" max="15115" width="6.7109375" style="1" customWidth="1"/>
    <col min="15116" max="15116" width="6.28515625" style="1" customWidth="1"/>
    <col min="15117" max="15117" width="7.7109375" style="1" customWidth="1"/>
    <col min="15118" max="15118" width="6.28515625" style="1" customWidth="1"/>
    <col min="15119" max="15119" width="7.7109375" style="1" customWidth="1"/>
    <col min="15120" max="15360" width="11.42578125" style="1"/>
    <col min="15361" max="15361" width="22.85546875" style="1" customWidth="1"/>
    <col min="15362" max="15362" width="9" style="1" customWidth="1"/>
    <col min="15363" max="15363" width="5.140625" style="1" customWidth="1"/>
    <col min="15364" max="15364" width="6.42578125" style="1" customWidth="1"/>
    <col min="15365" max="15365" width="8.85546875" style="1" customWidth="1"/>
    <col min="15366" max="15366" width="5.85546875" style="1" customWidth="1"/>
    <col min="15367" max="15367" width="7" style="1" customWidth="1"/>
    <col min="15368" max="15368" width="5.7109375" style="1" customWidth="1"/>
    <col min="15369" max="15369" width="6.85546875" style="1" customWidth="1"/>
    <col min="15370" max="15370" width="6" style="1" customWidth="1"/>
    <col min="15371" max="15371" width="6.7109375" style="1" customWidth="1"/>
    <col min="15372" max="15372" width="6.28515625" style="1" customWidth="1"/>
    <col min="15373" max="15373" width="7.7109375" style="1" customWidth="1"/>
    <col min="15374" max="15374" width="6.28515625" style="1" customWidth="1"/>
    <col min="15375" max="15375" width="7.7109375" style="1" customWidth="1"/>
    <col min="15376" max="15616" width="11.42578125" style="1"/>
    <col min="15617" max="15617" width="22.85546875" style="1" customWidth="1"/>
    <col min="15618" max="15618" width="9" style="1" customWidth="1"/>
    <col min="15619" max="15619" width="5.140625" style="1" customWidth="1"/>
    <col min="15620" max="15620" width="6.42578125" style="1" customWidth="1"/>
    <col min="15621" max="15621" width="8.85546875" style="1" customWidth="1"/>
    <col min="15622" max="15622" width="5.85546875" style="1" customWidth="1"/>
    <col min="15623" max="15623" width="7" style="1" customWidth="1"/>
    <col min="15624" max="15624" width="5.7109375" style="1" customWidth="1"/>
    <col min="15625" max="15625" width="6.85546875" style="1" customWidth="1"/>
    <col min="15626" max="15626" width="6" style="1" customWidth="1"/>
    <col min="15627" max="15627" width="6.7109375" style="1" customWidth="1"/>
    <col min="15628" max="15628" width="6.28515625" style="1" customWidth="1"/>
    <col min="15629" max="15629" width="7.7109375" style="1" customWidth="1"/>
    <col min="15630" max="15630" width="6.28515625" style="1" customWidth="1"/>
    <col min="15631" max="15631" width="7.7109375" style="1" customWidth="1"/>
    <col min="15632" max="15872" width="11.42578125" style="1"/>
    <col min="15873" max="15873" width="22.85546875" style="1" customWidth="1"/>
    <col min="15874" max="15874" width="9" style="1" customWidth="1"/>
    <col min="15875" max="15875" width="5.140625" style="1" customWidth="1"/>
    <col min="15876" max="15876" width="6.42578125" style="1" customWidth="1"/>
    <col min="15877" max="15877" width="8.85546875" style="1" customWidth="1"/>
    <col min="15878" max="15878" width="5.85546875" style="1" customWidth="1"/>
    <col min="15879" max="15879" width="7" style="1" customWidth="1"/>
    <col min="15880" max="15880" width="5.7109375" style="1" customWidth="1"/>
    <col min="15881" max="15881" width="6.85546875" style="1" customWidth="1"/>
    <col min="15882" max="15882" width="6" style="1" customWidth="1"/>
    <col min="15883" max="15883" width="6.7109375" style="1" customWidth="1"/>
    <col min="15884" max="15884" width="6.28515625" style="1" customWidth="1"/>
    <col min="15885" max="15885" width="7.7109375" style="1" customWidth="1"/>
    <col min="15886" max="15886" width="6.28515625" style="1" customWidth="1"/>
    <col min="15887" max="15887" width="7.7109375" style="1" customWidth="1"/>
    <col min="15888" max="16128" width="11.42578125" style="1"/>
    <col min="16129" max="16129" width="22.85546875" style="1" customWidth="1"/>
    <col min="16130" max="16130" width="9" style="1" customWidth="1"/>
    <col min="16131" max="16131" width="5.140625" style="1" customWidth="1"/>
    <col min="16132" max="16132" width="6.42578125" style="1" customWidth="1"/>
    <col min="16133" max="16133" width="8.85546875" style="1" customWidth="1"/>
    <col min="16134" max="16134" width="5.85546875" style="1" customWidth="1"/>
    <col min="16135" max="16135" width="7" style="1" customWidth="1"/>
    <col min="16136" max="16136" width="5.7109375" style="1" customWidth="1"/>
    <col min="16137" max="16137" width="6.85546875" style="1" customWidth="1"/>
    <col min="16138" max="16138" width="6" style="1" customWidth="1"/>
    <col min="16139" max="16139" width="6.7109375" style="1" customWidth="1"/>
    <col min="16140" max="16140" width="6.28515625" style="1" customWidth="1"/>
    <col min="16141" max="16141" width="7.7109375" style="1" customWidth="1"/>
    <col min="16142" max="16142" width="6.28515625" style="1" customWidth="1"/>
    <col min="16143" max="16143" width="7.7109375" style="1" customWidth="1"/>
    <col min="16144" max="16384" width="11.42578125" style="1"/>
  </cols>
  <sheetData>
    <row r="3" spans="1:16" x14ac:dyDescent="0.2">
      <c r="A3" s="241" t="s">
        <v>166</v>
      </c>
    </row>
    <row r="4" spans="1:16" x14ac:dyDescent="0.2">
      <c r="A4" s="89"/>
      <c r="B4" s="89" t="s">
        <v>146</v>
      </c>
      <c r="C4" s="89"/>
      <c r="D4" s="89"/>
      <c r="E4" s="91"/>
      <c r="F4" s="92" t="s">
        <v>46</v>
      </c>
      <c r="G4" s="92"/>
      <c r="H4" s="92"/>
      <c r="I4" s="92"/>
      <c r="J4" s="92"/>
      <c r="K4" s="92"/>
      <c r="L4" s="92"/>
      <c r="M4" s="92"/>
      <c r="N4" s="92"/>
      <c r="O4" s="94"/>
    </row>
    <row r="5" spans="1:16" x14ac:dyDescent="0.2">
      <c r="A5" s="90" t="s">
        <v>47</v>
      </c>
      <c r="B5" s="242" t="s">
        <v>147</v>
      </c>
      <c r="C5" s="90" t="s">
        <v>123</v>
      </c>
      <c r="D5" s="90" t="s">
        <v>94</v>
      </c>
      <c r="E5" s="97" t="s">
        <v>51</v>
      </c>
      <c r="F5" s="90" t="s">
        <v>94</v>
      </c>
      <c r="G5" s="90" t="s">
        <v>24</v>
      </c>
      <c r="H5" s="90" t="s">
        <v>94</v>
      </c>
      <c r="I5" s="90" t="s">
        <v>53</v>
      </c>
      <c r="J5" s="90" t="s">
        <v>94</v>
      </c>
      <c r="K5" s="90" t="s">
        <v>167</v>
      </c>
      <c r="L5" s="90" t="s">
        <v>94</v>
      </c>
      <c r="M5" s="90" t="s">
        <v>168</v>
      </c>
      <c r="N5" s="90" t="s">
        <v>94</v>
      </c>
      <c r="O5" s="96" t="s">
        <v>54</v>
      </c>
    </row>
    <row r="6" spans="1:16" x14ac:dyDescent="0.2">
      <c r="A6" s="99"/>
      <c r="B6" s="99" t="s">
        <v>150</v>
      </c>
      <c r="C6" s="99"/>
      <c r="D6" s="99" t="s">
        <v>50</v>
      </c>
      <c r="E6" s="99" t="s">
        <v>151</v>
      </c>
      <c r="F6" s="99" t="s">
        <v>50</v>
      </c>
      <c r="G6" s="99" t="s">
        <v>152</v>
      </c>
      <c r="H6" s="99" t="s">
        <v>50</v>
      </c>
      <c r="I6" s="99" t="s">
        <v>152</v>
      </c>
      <c r="J6" s="99" t="s">
        <v>50</v>
      </c>
      <c r="K6" s="99" t="s">
        <v>169</v>
      </c>
      <c r="L6" s="99" t="s">
        <v>50</v>
      </c>
      <c r="M6" s="99" t="s">
        <v>170</v>
      </c>
      <c r="N6" s="99" t="s">
        <v>50</v>
      </c>
      <c r="O6" s="101"/>
    </row>
    <row r="7" spans="1:16" x14ac:dyDescent="0.2">
      <c r="A7" s="262" t="s">
        <v>171</v>
      </c>
      <c r="B7" s="206"/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95"/>
    </row>
    <row r="8" spans="1:16" x14ac:dyDescent="0.2">
      <c r="A8" s="247" t="s">
        <v>172</v>
      </c>
      <c r="B8" s="124"/>
      <c r="C8" s="248"/>
      <c r="D8" s="248"/>
      <c r="E8" s="248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95"/>
    </row>
    <row r="9" spans="1:16" x14ac:dyDescent="0.2">
      <c r="A9" s="222" t="s">
        <v>173</v>
      </c>
      <c r="B9" s="111"/>
      <c r="C9" s="114">
        <v>26.3</v>
      </c>
      <c r="D9" s="113">
        <f>B9*C9</f>
        <v>0</v>
      </c>
      <c r="E9" s="114">
        <v>0.255</v>
      </c>
      <c r="F9" s="113">
        <f>B9*E9</f>
        <v>0</v>
      </c>
      <c r="G9" s="114">
        <v>3.4200000000000001E-2</v>
      </c>
      <c r="H9" s="113">
        <f>B9*G9</f>
        <v>0</v>
      </c>
      <c r="I9" s="151"/>
      <c r="J9" s="191"/>
      <c r="K9" s="114">
        <v>2.4</v>
      </c>
      <c r="L9" s="113">
        <f>B9*K9</f>
        <v>0</v>
      </c>
      <c r="M9" s="114">
        <v>0.02</v>
      </c>
      <c r="N9" s="113">
        <f>B9*M9</f>
        <v>0</v>
      </c>
      <c r="O9" s="114" t="s">
        <v>105</v>
      </c>
    </row>
    <row r="10" spans="1:16" x14ac:dyDescent="0.2">
      <c r="A10" s="222" t="s">
        <v>174</v>
      </c>
      <c r="B10" s="111"/>
      <c r="C10" s="114">
        <v>11.7</v>
      </c>
      <c r="D10" s="113">
        <f>B10*C10</f>
        <v>0</v>
      </c>
      <c r="E10" s="114">
        <v>0.255</v>
      </c>
      <c r="F10" s="113">
        <f>B10*E10</f>
        <v>0</v>
      </c>
      <c r="G10" s="114">
        <v>3.4200000000000001E-2</v>
      </c>
      <c r="H10" s="113">
        <f>B10*G10</f>
        <v>0</v>
      </c>
      <c r="I10" s="151"/>
      <c r="J10" s="191"/>
      <c r="K10" s="114">
        <v>2.4</v>
      </c>
      <c r="L10" s="113">
        <f>B10*K10</f>
        <v>0</v>
      </c>
      <c r="M10" s="114">
        <v>0.02</v>
      </c>
      <c r="N10" s="113">
        <f>B10*M10</f>
        <v>0</v>
      </c>
      <c r="O10" s="114" t="s">
        <v>105</v>
      </c>
    </row>
    <row r="11" spans="1:16" x14ac:dyDescent="0.2">
      <c r="A11" s="222" t="s">
        <v>175</v>
      </c>
      <c r="B11" s="111"/>
      <c r="C11" s="114">
        <v>6.6</v>
      </c>
      <c r="D11" s="113">
        <f>B11*C11</f>
        <v>0</v>
      </c>
      <c r="E11" s="114">
        <v>0.255</v>
      </c>
      <c r="F11" s="113">
        <f>B11*E11</f>
        <v>0</v>
      </c>
      <c r="G11" s="114">
        <v>3.4200000000000001E-2</v>
      </c>
      <c r="H11" s="113">
        <f>B11*G11</f>
        <v>0</v>
      </c>
      <c r="I11" s="151"/>
      <c r="J11" s="191"/>
      <c r="K11" s="114">
        <v>2.4</v>
      </c>
      <c r="L11" s="113">
        <f>B11*K11</f>
        <v>0</v>
      </c>
      <c r="M11" s="114">
        <v>0.02</v>
      </c>
      <c r="N11" s="113">
        <f>B11*M11</f>
        <v>0</v>
      </c>
      <c r="O11" s="114" t="s">
        <v>105</v>
      </c>
    </row>
    <row r="12" spans="1:16" x14ac:dyDescent="0.2">
      <c r="A12" s="263" t="s">
        <v>176</v>
      </c>
      <c r="B12" s="130"/>
      <c r="C12" s="264"/>
      <c r="D12" s="265"/>
      <c r="E12" s="264"/>
      <c r="F12" s="265"/>
      <c r="G12" s="264"/>
      <c r="H12" s="265"/>
      <c r="I12" s="264"/>
      <c r="J12" s="265"/>
      <c r="K12" s="264"/>
      <c r="L12" s="265"/>
      <c r="M12" s="264"/>
      <c r="N12" s="266"/>
      <c r="O12" s="264"/>
      <c r="P12" s="95"/>
    </row>
    <row r="13" spans="1:16" x14ac:dyDescent="0.2">
      <c r="A13" s="222" t="s">
        <v>177</v>
      </c>
      <c r="B13" s="111"/>
      <c r="C13" s="114"/>
      <c r="D13" s="113">
        <f>B13*C13</f>
        <v>0</v>
      </c>
      <c r="E13" s="114">
        <v>0.36109999999999998</v>
      </c>
      <c r="F13" s="113">
        <f>B13*E13</f>
        <v>0</v>
      </c>
      <c r="G13" s="114">
        <v>3.6400000000000002E-2</v>
      </c>
      <c r="H13" s="113">
        <f>B13*G13</f>
        <v>0</v>
      </c>
      <c r="I13" s="151"/>
      <c r="J13" s="191"/>
      <c r="K13" s="151"/>
      <c r="L13" s="191"/>
      <c r="M13" s="151"/>
      <c r="N13" s="174"/>
      <c r="O13" s="267">
        <v>1.3</v>
      </c>
    </row>
    <row r="14" spans="1:16" x14ac:dyDescent="0.2">
      <c r="A14" s="255" t="s">
        <v>178</v>
      </c>
      <c r="B14" s="268"/>
      <c r="C14" s="177"/>
      <c r="D14" s="178"/>
      <c r="E14" s="177"/>
      <c r="F14" s="178"/>
      <c r="G14" s="177"/>
      <c r="H14" s="178"/>
      <c r="I14" s="177"/>
      <c r="J14" s="178"/>
      <c r="K14" s="177"/>
      <c r="L14" s="178"/>
      <c r="M14" s="177"/>
      <c r="N14" s="171"/>
      <c r="O14" s="177"/>
      <c r="P14" s="95"/>
    </row>
    <row r="15" spans="1:16" x14ac:dyDescent="0.2">
      <c r="A15" s="255" t="s">
        <v>179</v>
      </c>
      <c r="B15" s="123"/>
      <c r="C15" s="177"/>
      <c r="D15" s="178"/>
      <c r="E15" s="177"/>
      <c r="F15" s="178"/>
      <c r="G15" s="177"/>
      <c r="H15" s="178"/>
      <c r="I15" s="177"/>
      <c r="J15" s="178"/>
      <c r="K15" s="177"/>
      <c r="L15" s="178"/>
      <c r="M15" s="177"/>
      <c r="N15" s="171"/>
      <c r="O15" s="177"/>
      <c r="P15" s="95"/>
    </row>
    <row r="16" spans="1:16" x14ac:dyDescent="0.2">
      <c r="A16" s="222" t="s">
        <v>174</v>
      </c>
      <c r="B16" s="111"/>
      <c r="C16" s="114">
        <v>12</v>
      </c>
      <c r="D16" s="113">
        <f>B16*C16</f>
        <v>0</v>
      </c>
      <c r="E16" s="114">
        <v>0.1404</v>
      </c>
      <c r="F16" s="113">
        <f>B16*E16</f>
        <v>0</v>
      </c>
      <c r="G16" s="114">
        <v>2.3699999999999999E-2</v>
      </c>
      <c r="H16" s="113">
        <f>B16*G16</f>
        <v>0</v>
      </c>
      <c r="I16" s="114">
        <v>1.41E-2</v>
      </c>
      <c r="J16" s="113">
        <f>B16*I16</f>
        <v>0</v>
      </c>
      <c r="K16" s="151"/>
      <c r="L16" s="191"/>
      <c r="M16" s="151"/>
      <c r="N16" s="174"/>
      <c r="O16" s="114" t="s">
        <v>68</v>
      </c>
    </row>
    <row r="17" spans="1:16" x14ac:dyDescent="0.2">
      <c r="A17" s="222" t="s">
        <v>173</v>
      </c>
      <c r="B17" s="111"/>
      <c r="C17" s="114">
        <v>26</v>
      </c>
      <c r="D17" s="113">
        <f>B17*C17</f>
        <v>0</v>
      </c>
      <c r="E17" s="114">
        <v>0.1404</v>
      </c>
      <c r="F17" s="113">
        <f>B17*E17</f>
        <v>0</v>
      </c>
      <c r="G17" s="114">
        <v>2.3699999999999999E-2</v>
      </c>
      <c r="H17" s="113">
        <f>B17*G17</f>
        <v>0</v>
      </c>
      <c r="I17" s="114">
        <v>1.41E-2</v>
      </c>
      <c r="J17" s="113">
        <f>B17*I17</f>
        <v>0</v>
      </c>
      <c r="K17" s="151"/>
      <c r="L17" s="191"/>
      <c r="M17" s="151"/>
      <c r="N17" s="174"/>
      <c r="O17" s="114" t="s">
        <v>68</v>
      </c>
    </row>
    <row r="18" spans="1:16" x14ac:dyDescent="0.2">
      <c r="A18" s="255" t="s">
        <v>180</v>
      </c>
      <c r="B18" s="268"/>
      <c r="C18" s="177"/>
      <c r="D18" s="178"/>
      <c r="E18" s="177"/>
      <c r="F18" s="178"/>
      <c r="G18" s="177"/>
      <c r="H18" s="178"/>
      <c r="I18" s="177"/>
      <c r="J18" s="178"/>
      <c r="K18" s="177"/>
      <c r="L18" s="178"/>
      <c r="M18" s="177"/>
      <c r="N18" s="178"/>
      <c r="O18" s="177"/>
      <c r="P18" s="95"/>
    </row>
    <row r="19" spans="1:16" x14ac:dyDescent="0.2">
      <c r="A19" s="255" t="s">
        <v>181</v>
      </c>
      <c r="B19" s="123"/>
      <c r="C19" s="177"/>
      <c r="D19" s="178"/>
      <c r="E19" s="177"/>
      <c r="F19" s="178"/>
      <c r="G19" s="177"/>
      <c r="H19" s="178"/>
      <c r="I19" s="177"/>
      <c r="J19" s="178"/>
      <c r="K19" s="177"/>
      <c r="L19" s="178"/>
      <c r="M19" s="177"/>
      <c r="N19" s="178"/>
      <c r="O19" s="177"/>
      <c r="P19" s="95"/>
    </row>
    <row r="20" spans="1:16" x14ac:dyDescent="0.2">
      <c r="A20" s="269" t="s">
        <v>182</v>
      </c>
      <c r="B20" s="111"/>
      <c r="C20" s="114">
        <v>26</v>
      </c>
      <c r="D20" s="113">
        <f>B20*C20</f>
        <v>0</v>
      </c>
      <c r="E20" s="114">
        <v>0.11700000000000001</v>
      </c>
      <c r="F20" s="113">
        <f>B20*E20</f>
        <v>0</v>
      </c>
      <c r="G20" s="114">
        <v>1.9800000000000002E-2</v>
      </c>
      <c r="H20" s="113">
        <f>B20*G20</f>
        <v>0</v>
      </c>
      <c r="I20" s="114">
        <v>1.18E-2</v>
      </c>
      <c r="J20" s="113">
        <f>B20*I20</f>
        <v>0</v>
      </c>
      <c r="K20" s="151"/>
      <c r="L20" s="191"/>
      <c r="M20" s="114">
        <v>0.01</v>
      </c>
      <c r="N20" s="113">
        <f>B20*M20</f>
        <v>0</v>
      </c>
      <c r="O20" s="114" t="s">
        <v>68</v>
      </c>
    </row>
    <row r="21" spans="1:16" x14ac:dyDescent="0.2">
      <c r="A21" s="269" t="s">
        <v>183</v>
      </c>
      <c r="B21" s="111">
        <v>32</v>
      </c>
      <c r="C21" s="114">
        <v>17</v>
      </c>
      <c r="D21" s="113">
        <f>B21*C21</f>
        <v>544</v>
      </c>
      <c r="E21" s="114">
        <v>0.11700000000000001</v>
      </c>
      <c r="F21" s="113">
        <f>B21*E21</f>
        <v>3.7440000000000002</v>
      </c>
      <c r="G21" s="114">
        <v>1.9800000000000002E-2</v>
      </c>
      <c r="H21" s="113">
        <f>B21*G21</f>
        <v>0.63360000000000005</v>
      </c>
      <c r="I21" s="114">
        <v>1.18E-2</v>
      </c>
      <c r="J21" s="113">
        <f>B21*I21</f>
        <v>0.37759999999999999</v>
      </c>
      <c r="K21" s="151"/>
      <c r="L21" s="191"/>
      <c r="M21" s="114">
        <v>0.01</v>
      </c>
      <c r="N21" s="113">
        <f>B21*M21</f>
        <v>0.32</v>
      </c>
      <c r="O21" s="114" t="s">
        <v>68</v>
      </c>
    </row>
    <row r="22" spans="1:16" x14ac:dyDescent="0.2">
      <c r="A22" s="255" t="s">
        <v>184</v>
      </c>
      <c r="B22" s="268"/>
      <c r="C22" s="177"/>
      <c r="D22" s="178"/>
      <c r="E22" s="177"/>
      <c r="F22" s="178"/>
      <c r="G22" s="177"/>
      <c r="H22" s="178"/>
      <c r="I22" s="177"/>
      <c r="J22" s="178"/>
      <c r="K22" s="177"/>
      <c r="L22" s="178"/>
      <c r="M22" s="177"/>
      <c r="N22" s="178"/>
      <c r="O22" s="177"/>
      <c r="P22" s="95"/>
    </row>
    <row r="23" spans="1:16" x14ac:dyDescent="0.2">
      <c r="A23" s="255" t="s">
        <v>185</v>
      </c>
      <c r="B23" s="123"/>
      <c r="C23" s="177"/>
      <c r="D23" s="178"/>
      <c r="E23" s="177"/>
      <c r="F23" s="178"/>
      <c r="G23" s="177"/>
      <c r="H23" s="178"/>
      <c r="I23" s="177"/>
      <c r="J23" s="178"/>
      <c r="K23" s="177"/>
      <c r="L23" s="178"/>
      <c r="M23" s="177"/>
      <c r="N23" s="178"/>
      <c r="O23" s="177"/>
      <c r="P23" s="95"/>
    </row>
    <row r="24" spans="1:16" x14ac:dyDescent="0.2">
      <c r="A24" s="269" t="s">
        <v>186</v>
      </c>
      <c r="B24" s="111"/>
      <c r="C24" s="114">
        <v>12</v>
      </c>
      <c r="D24" s="113">
        <f>B24*C24</f>
        <v>0</v>
      </c>
      <c r="E24" s="114">
        <v>0.15440000000000001</v>
      </c>
      <c r="F24" s="113">
        <f>B24*E24</f>
        <v>0</v>
      </c>
      <c r="G24" s="114">
        <v>2.5999999999999999E-2</v>
      </c>
      <c r="H24" s="113">
        <f>B24*G24</f>
        <v>0</v>
      </c>
      <c r="I24" s="114">
        <v>1.55E-2</v>
      </c>
      <c r="J24" s="113">
        <f>B24*I24</f>
        <v>0</v>
      </c>
      <c r="K24" s="151"/>
      <c r="L24" s="191"/>
      <c r="M24" s="114">
        <v>0.01</v>
      </c>
      <c r="N24" s="113">
        <f>B24*M24</f>
        <v>0</v>
      </c>
      <c r="O24" s="114" t="s">
        <v>68</v>
      </c>
    </row>
    <row r="25" spans="1:16" x14ac:dyDescent="0.2">
      <c r="A25" s="269" t="s">
        <v>187</v>
      </c>
      <c r="B25" s="111"/>
      <c r="C25" s="114">
        <v>7</v>
      </c>
      <c r="D25" s="113">
        <f>B25*C25</f>
        <v>0</v>
      </c>
      <c r="E25" s="114">
        <v>0.15440000000000001</v>
      </c>
      <c r="F25" s="113">
        <f>B25*E25</f>
        <v>0</v>
      </c>
      <c r="G25" s="114">
        <v>2.5999999999999999E-2</v>
      </c>
      <c r="H25" s="113">
        <f>B25*G25</f>
        <v>0</v>
      </c>
      <c r="I25" s="114">
        <v>1.55E-2</v>
      </c>
      <c r="J25" s="113">
        <f>B25*I25</f>
        <v>0</v>
      </c>
      <c r="K25" s="151"/>
      <c r="L25" s="191"/>
      <c r="M25" s="114">
        <v>0.01</v>
      </c>
      <c r="N25" s="113">
        <f>B25*M25</f>
        <v>0</v>
      </c>
      <c r="O25" s="114" t="s">
        <v>68</v>
      </c>
    </row>
    <row r="26" spans="1:16" x14ac:dyDescent="0.2">
      <c r="A26" s="255" t="s">
        <v>188</v>
      </c>
      <c r="B26" s="130"/>
      <c r="C26" s="170" t="s">
        <v>189</v>
      </c>
      <c r="D26" s="178"/>
      <c r="E26" s="177"/>
      <c r="F26" s="178"/>
      <c r="G26" s="177"/>
      <c r="H26" s="178"/>
      <c r="I26" s="177"/>
      <c r="J26" s="178"/>
      <c r="K26" s="177"/>
      <c r="L26" s="178"/>
      <c r="M26" s="177"/>
      <c r="N26" s="178"/>
      <c r="O26" s="177"/>
      <c r="P26" s="95"/>
    </row>
    <row r="27" spans="1:16" x14ac:dyDescent="0.2">
      <c r="A27" s="270" t="s">
        <v>180</v>
      </c>
      <c r="B27" s="212"/>
      <c r="C27" s="213">
        <v>4.2</v>
      </c>
      <c r="D27" s="215">
        <f>B27*C27</f>
        <v>0</v>
      </c>
      <c r="E27" s="213">
        <v>1.7899999999999999E-2</v>
      </c>
      <c r="F27" s="215">
        <f>B27*E27</f>
        <v>0</v>
      </c>
      <c r="G27" s="213">
        <v>1.6999999999999999E-3</v>
      </c>
      <c r="H27" s="215">
        <f>B27*G27</f>
        <v>0</v>
      </c>
      <c r="I27" s="271"/>
      <c r="J27" s="272"/>
      <c r="K27" s="213">
        <v>0.13600000000000001</v>
      </c>
      <c r="L27" s="214">
        <f>B27*K27</f>
        <v>0</v>
      </c>
      <c r="M27" s="213">
        <v>0.01</v>
      </c>
      <c r="N27" s="214">
        <f>B27*M27</f>
        <v>0</v>
      </c>
      <c r="O27" s="216" t="s">
        <v>190</v>
      </c>
    </row>
    <row r="28" spans="1:16" x14ac:dyDescent="0.2">
      <c r="A28" s="273" t="s">
        <v>191</v>
      </c>
      <c r="B28" s="145"/>
      <c r="C28" s="160"/>
      <c r="D28" s="218"/>
      <c r="E28" s="160"/>
      <c r="F28" s="218"/>
      <c r="G28" s="160"/>
      <c r="H28" s="218"/>
      <c r="I28" s="137"/>
      <c r="J28" s="237"/>
      <c r="K28" s="160"/>
      <c r="L28" s="147"/>
      <c r="M28" s="160"/>
      <c r="N28" s="147"/>
      <c r="O28" s="219"/>
    </row>
    <row r="29" spans="1:16" x14ac:dyDescent="0.2">
      <c r="A29" s="274" t="s">
        <v>184</v>
      </c>
      <c r="B29" s="268"/>
      <c r="C29" s="275"/>
      <c r="D29" s="276"/>
      <c r="E29" s="275"/>
      <c r="F29" s="276"/>
      <c r="G29" s="275"/>
      <c r="H29" s="276"/>
      <c r="I29" s="275"/>
      <c r="J29" s="276"/>
      <c r="K29" s="275"/>
      <c r="L29" s="277"/>
      <c r="M29" s="275"/>
      <c r="N29" s="276"/>
      <c r="O29" s="278"/>
    </row>
    <row r="30" spans="1:16" x14ac:dyDescent="0.2">
      <c r="A30" s="247" t="s">
        <v>185</v>
      </c>
      <c r="B30" s="123"/>
      <c r="C30" s="256"/>
      <c r="D30" s="257"/>
      <c r="E30" s="256"/>
      <c r="F30" s="257"/>
      <c r="G30" s="256"/>
      <c r="H30" s="257"/>
      <c r="I30" s="256"/>
      <c r="J30" s="257"/>
      <c r="K30" s="256"/>
      <c r="L30" s="279"/>
      <c r="M30" s="256"/>
      <c r="N30" s="257"/>
      <c r="O30" s="280"/>
    </row>
    <row r="31" spans="1:16" x14ac:dyDescent="0.2">
      <c r="A31" s="269" t="s">
        <v>192</v>
      </c>
      <c r="B31" s="111"/>
      <c r="C31" s="114">
        <v>3.5</v>
      </c>
      <c r="D31" s="113">
        <f>B31*C31</f>
        <v>0</v>
      </c>
      <c r="E31" s="114">
        <v>1.7899999999999999E-2</v>
      </c>
      <c r="F31" s="113">
        <f>B31*E31</f>
        <v>0</v>
      </c>
      <c r="G31" s="114">
        <v>1.6999999999999999E-3</v>
      </c>
      <c r="H31" s="113">
        <f>B31*G31</f>
        <v>0</v>
      </c>
      <c r="I31" s="151"/>
      <c r="J31" s="191"/>
      <c r="K31" s="114">
        <v>0.13600000000000001</v>
      </c>
      <c r="L31" s="113">
        <f>B31*K31</f>
        <v>0</v>
      </c>
      <c r="M31" s="114">
        <v>0.01</v>
      </c>
      <c r="N31" s="113">
        <f>B31*M31</f>
        <v>0</v>
      </c>
      <c r="O31" s="114"/>
    </row>
    <row r="32" spans="1:16" ht="15.75" x14ac:dyDescent="0.25">
      <c r="A32" s="281" t="s">
        <v>193</v>
      </c>
      <c r="B32" s="162"/>
      <c r="C32" s="162"/>
      <c r="D32" s="182"/>
      <c r="E32" s="189"/>
      <c r="F32" s="164">
        <f>SUM(F9:F31)</f>
        <v>3.7440000000000002</v>
      </c>
      <c r="G32" s="282"/>
      <c r="H32" s="164">
        <f>SUM(H9:H31)</f>
        <v>0.63360000000000005</v>
      </c>
      <c r="I32" s="283"/>
      <c r="J32" s="164">
        <f>SUM(J16:J31)</f>
        <v>0.37759999999999999</v>
      </c>
      <c r="K32" s="283"/>
      <c r="L32" s="164">
        <f>SUM(L9:L31)</f>
        <v>0</v>
      </c>
      <c r="M32" s="283"/>
      <c r="N32" s="164">
        <f>SUM(N9:N31)</f>
        <v>0.32</v>
      </c>
      <c r="O32" s="283"/>
    </row>
  </sheetData>
  <pageMargins left="0.75" right="0.75" top="1" bottom="1" header="0" footer="0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L31"/>
  <sheetViews>
    <sheetView workbookViewId="0">
      <selection activeCell="F8" sqref="F8"/>
    </sheetView>
  </sheetViews>
  <sheetFormatPr baseColWidth="10" defaultRowHeight="12.75" x14ac:dyDescent="0.2"/>
  <cols>
    <col min="1" max="1" width="11.42578125" style="1"/>
    <col min="2" max="2" width="31.28515625" style="1" customWidth="1"/>
    <col min="3" max="3" width="9.5703125" style="1" customWidth="1"/>
    <col min="4" max="4" width="8.140625" style="1" customWidth="1"/>
    <col min="5" max="5" width="7.85546875" style="1" customWidth="1"/>
    <col min="6" max="7" width="7.42578125" style="1" customWidth="1"/>
    <col min="8" max="8" width="7.7109375" style="1" customWidth="1"/>
    <col min="9" max="9" width="6.42578125" style="1" customWidth="1"/>
    <col min="10" max="10" width="7" style="1" customWidth="1"/>
    <col min="11" max="11" width="7.140625" style="1" customWidth="1"/>
    <col min="12" max="257" width="11.42578125" style="1"/>
    <col min="258" max="258" width="31.28515625" style="1" customWidth="1"/>
    <col min="259" max="259" width="9.5703125" style="1" customWidth="1"/>
    <col min="260" max="260" width="8.140625" style="1" customWidth="1"/>
    <col min="261" max="261" width="7.85546875" style="1" customWidth="1"/>
    <col min="262" max="263" width="7.42578125" style="1" customWidth="1"/>
    <col min="264" max="264" width="7.7109375" style="1" customWidth="1"/>
    <col min="265" max="265" width="6.42578125" style="1" customWidth="1"/>
    <col min="266" max="266" width="7" style="1" customWidth="1"/>
    <col min="267" max="267" width="7.140625" style="1" customWidth="1"/>
    <col min="268" max="513" width="11.42578125" style="1"/>
    <col min="514" max="514" width="31.28515625" style="1" customWidth="1"/>
    <col min="515" max="515" width="9.5703125" style="1" customWidth="1"/>
    <col min="516" max="516" width="8.140625" style="1" customWidth="1"/>
    <col min="517" max="517" width="7.85546875" style="1" customWidth="1"/>
    <col min="518" max="519" width="7.42578125" style="1" customWidth="1"/>
    <col min="520" max="520" width="7.7109375" style="1" customWidth="1"/>
    <col min="521" max="521" width="6.42578125" style="1" customWidth="1"/>
    <col min="522" max="522" width="7" style="1" customWidth="1"/>
    <col min="523" max="523" width="7.140625" style="1" customWidth="1"/>
    <col min="524" max="769" width="11.42578125" style="1"/>
    <col min="770" max="770" width="31.28515625" style="1" customWidth="1"/>
    <col min="771" max="771" width="9.5703125" style="1" customWidth="1"/>
    <col min="772" max="772" width="8.140625" style="1" customWidth="1"/>
    <col min="773" max="773" width="7.85546875" style="1" customWidth="1"/>
    <col min="774" max="775" width="7.42578125" style="1" customWidth="1"/>
    <col min="776" max="776" width="7.7109375" style="1" customWidth="1"/>
    <col min="777" max="777" width="6.42578125" style="1" customWidth="1"/>
    <col min="778" max="778" width="7" style="1" customWidth="1"/>
    <col min="779" max="779" width="7.140625" style="1" customWidth="1"/>
    <col min="780" max="1025" width="11.42578125" style="1"/>
    <col min="1026" max="1026" width="31.28515625" style="1" customWidth="1"/>
    <col min="1027" max="1027" width="9.5703125" style="1" customWidth="1"/>
    <col min="1028" max="1028" width="8.140625" style="1" customWidth="1"/>
    <col min="1029" max="1029" width="7.85546875" style="1" customWidth="1"/>
    <col min="1030" max="1031" width="7.42578125" style="1" customWidth="1"/>
    <col min="1032" max="1032" width="7.7109375" style="1" customWidth="1"/>
    <col min="1033" max="1033" width="6.42578125" style="1" customWidth="1"/>
    <col min="1034" max="1034" width="7" style="1" customWidth="1"/>
    <col min="1035" max="1035" width="7.140625" style="1" customWidth="1"/>
    <col min="1036" max="1281" width="11.42578125" style="1"/>
    <col min="1282" max="1282" width="31.28515625" style="1" customWidth="1"/>
    <col min="1283" max="1283" width="9.5703125" style="1" customWidth="1"/>
    <col min="1284" max="1284" width="8.140625" style="1" customWidth="1"/>
    <col min="1285" max="1285" width="7.85546875" style="1" customWidth="1"/>
    <col min="1286" max="1287" width="7.42578125" style="1" customWidth="1"/>
    <col min="1288" max="1288" width="7.7109375" style="1" customWidth="1"/>
    <col min="1289" max="1289" width="6.42578125" style="1" customWidth="1"/>
    <col min="1290" max="1290" width="7" style="1" customWidth="1"/>
    <col min="1291" max="1291" width="7.140625" style="1" customWidth="1"/>
    <col min="1292" max="1537" width="11.42578125" style="1"/>
    <col min="1538" max="1538" width="31.28515625" style="1" customWidth="1"/>
    <col min="1539" max="1539" width="9.5703125" style="1" customWidth="1"/>
    <col min="1540" max="1540" width="8.140625" style="1" customWidth="1"/>
    <col min="1541" max="1541" width="7.85546875" style="1" customWidth="1"/>
    <col min="1542" max="1543" width="7.42578125" style="1" customWidth="1"/>
    <col min="1544" max="1544" width="7.7109375" style="1" customWidth="1"/>
    <col min="1545" max="1545" width="6.42578125" style="1" customWidth="1"/>
    <col min="1546" max="1546" width="7" style="1" customWidth="1"/>
    <col min="1547" max="1547" width="7.140625" style="1" customWidth="1"/>
    <col min="1548" max="1793" width="11.42578125" style="1"/>
    <col min="1794" max="1794" width="31.28515625" style="1" customWidth="1"/>
    <col min="1795" max="1795" width="9.5703125" style="1" customWidth="1"/>
    <col min="1796" max="1796" width="8.140625" style="1" customWidth="1"/>
    <col min="1797" max="1797" width="7.85546875" style="1" customWidth="1"/>
    <col min="1798" max="1799" width="7.42578125" style="1" customWidth="1"/>
    <col min="1800" max="1800" width="7.7109375" style="1" customWidth="1"/>
    <col min="1801" max="1801" width="6.42578125" style="1" customWidth="1"/>
    <col min="1802" max="1802" width="7" style="1" customWidth="1"/>
    <col min="1803" max="1803" width="7.140625" style="1" customWidth="1"/>
    <col min="1804" max="2049" width="11.42578125" style="1"/>
    <col min="2050" max="2050" width="31.28515625" style="1" customWidth="1"/>
    <col min="2051" max="2051" width="9.5703125" style="1" customWidth="1"/>
    <col min="2052" max="2052" width="8.140625" style="1" customWidth="1"/>
    <col min="2053" max="2053" width="7.85546875" style="1" customWidth="1"/>
    <col min="2054" max="2055" width="7.42578125" style="1" customWidth="1"/>
    <col min="2056" max="2056" width="7.7109375" style="1" customWidth="1"/>
    <col min="2057" max="2057" width="6.42578125" style="1" customWidth="1"/>
    <col min="2058" max="2058" width="7" style="1" customWidth="1"/>
    <col min="2059" max="2059" width="7.140625" style="1" customWidth="1"/>
    <col min="2060" max="2305" width="11.42578125" style="1"/>
    <col min="2306" max="2306" width="31.28515625" style="1" customWidth="1"/>
    <col min="2307" max="2307" width="9.5703125" style="1" customWidth="1"/>
    <col min="2308" max="2308" width="8.140625" style="1" customWidth="1"/>
    <col min="2309" max="2309" width="7.85546875" style="1" customWidth="1"/>
    <col min="2310" max="2311" width="7.42578125" style="1" customWidth="1"/>
    <col min="2312" max="2312" width="7.7109375" style="1" customWidth="1"/>
    <col min="2313" max="2313" width="6.42578125" style="1" customWidth="1"/>
    <col min="2314" max="2314" width="7" style="1" customWidth="1"/>
    <col min="2315" max="2315" width="7.140625" style="1" customWidth="1"/>
    <col min="2316" max="2561" width="11.42578125" style="1"/>
    <col min="2562" max="2562" width="31.28515625" style="1" customWidth="1"/>
    <col min="2563" max="2563" width="9.5703125" style="1" customWidth="1"/>
    <col min="2564" max="2564" width="8.140625" style="1" customWidth="1"/>
    <col min="2565" max="2565" width="7.85546875" style="1" customWidth="1"/>
    <col min="2566" max="2567" width="7.42578125" style="1" customWidth="1"/>
    <col min="2568" max="2568" width="7.7109375" style="1" customWidth="1"/>
    <col min="2569" max="2569" width="6.42578125" style="1" customWidth="1"/>
    <col min="2570" max="2570" width="7" style="1" customWidth="1"/>
    <col min="2571" max="2571" width="7.140625" style="1" customWidth="1"/>
    <col min="2572" max="2817" width="11.42578125" style="1"/>
    <col min="2818" max="2818" width="31.28515625" style="1" customWidth="1"/>
    <col min="2819" max="2819" width="9.5703125" style="1" customWidth="1"/>
    <col min="2820" max="2820" width="8.140625" style="1" customWidth="1"/>
    <col min="2821" max="2821" width="7.85546875" style="1" customWidth="1"/>
    <col min="2822" max="2823" width="7.42578125" style="1" customWidth="1"/>
    <col min="2824" max="2824" width="7.7109375" style="1" customWidth="1"/>
    <col min="2825" max="2825" width="6.42578125" style="1" customWidth="1"/>
    <col min="2826" max="2826" width="7" style="1" customWidth="1"/>
    <col min="2827" max="2827" width="7.140625" style="1" customWidth="1"/>
    <col min="2828" max="3073" width="11.42578125" style="1"/>
    <col min="3074" max="3074" width="31.28515625" style="1" customWidth="1"/>
    <col min="3075" max="3075" width="9.5703125" style="1" customWidth="1"/>
    <col min="3076" max="3076" width="8.140625" style="1" customWidth="1"/>
    <col min="3077" max="3077" width="7.85546875" style="1" customWidth="1"/>
    <col min="3078" max="3079" width="7.42578125" style="1" customWidth="1"/>
    <col min="3080" max="3080" width="7.7109375" style="1" customWidth="1"/>
    <col min="3081" max="3081" width="6.42578125" style="1" customWidth="1"/>
    <col min="3082" max="3082" width="7" style="1" customWidth="1"/>
    <col min="3083" max="3083" width="7.140625" style="1" customWidth="1"/>
    <col min="3084" max="3329" width="11.42578125" style="1"/>
    <col min="3330" max="3330" width="31.28515625" style="1" customWidth="1"/>
    <col min="3331" max="3331" width="9.5703125" style="1" customWidth="1"/>
    <col min="3332" max="3332" width="8.140625" style="1" customWidth="1"/>
    <col min="3333" max="3333" width="7.85546875" style="1" customWidth="1"/>
    <col min="3334" max="3335" width="7.42578125" style="1" customWidth="1"/>
    <col min="3336" max="3336" width="7.7109375" style="1" customWidth="1"/>
    <col min="3337" max="3337" width="6.42578125" style="1" customWidth="1"/>
    <col min="3338" max="3338" width="7" style="1" customWidth="1"/>
    <col min="3339" max="3339" width="7.140625" style="1" customWidth="1"/>
    <col min="3340" max="3585" width="11.42578125" style="1"/>
    <col min="3586" max="3586" width="31.28515625" style="1" customWidth="1"/>
    <col min="3587" max="3587" width="9.5703125" style="1" customWidth="1"/>
    <col min="3588" max="3588" width="8.140625" style="1" customWidth="1"/>
    <col min="3589" max="3589" width="7.85546875" style="1" customWidth="1"/>
    <col min="3590" max="3591" width="7.42578125" style="1" customWidth="1"/>
    <col min="3592" max="3592" width="7.7109375" style="1" customWidth="1"/>
    <col min="3593" max="3593" width="6.42578125" style="1" customWidth="1"/>
    <col min="3594" max="3594" width="7" style="1" customWidth="1"/>
    <col min="3595" max="3595" width="7.140625" style="1" customWidth="1"/>
    <col min="3596" max="3841" width="11.42578125" style="1"/>
    <col min="3842" max="3842" width="31.28515625" style="1" customWidth="1"/>
    <col min="3843" max="3843" width="9.5703125" style="1" customWidth="1"/>
    <col min="3844" max="3844" width="8.140625" style="1" customWidth="1"/>
    <col min="3845" max="3845" width="7.85546875" style="1" customWidth="1"/>
    <col min="3846" max="3847" width="7.42578125" style="1" customWidth="1"/>
    <col min="3848" max="3848" width="7.7109375" style="1" customWidth="1"/>
    <col min="3849" max="3849" width="6.42578125" style="1" customWidth="1"/>
    <col min="3850" max="3850" width="7" style="1" customWidth="1"/>
    <col min="3851" max="3851" width="7.140625" style="1" customWidth="1"/>
    <col min="3852" max="4097" width="11.42578125" style="1"/>
    <col min="4098" max="4098" width="31.28515625" style="1" customWidth="1"/>
    <col min="4099" max="4099" width="9.5703125" style="1" customWidth="1"/>
    <col min="4100" max="4100" width="8.140625" style="1" customWidth="1"/>
    <col min="4101" max="4101" width="7.85546875" style="1" customWidth="1"/>
    <col min="4102" max="4103" width="7.42578125" style="1" customWidth="1"/>
    <col min="4104" max="4104" width="7.7109375" style="1" customWidth="1"/>
    <col min="4105" max="4105" width="6.42578125" style="1" customWidth="1"/>
    <col min="4106" max="4106" width="7" style="1" customWidth="1"/>
    <col min="4107" max="4107" width="7.140625" style="1" customWidth="1"/>
    <col min="4108" max="4353" width="11.42578125" style="1"/>
    <col min="4354" max="4354" width="31.28515625" style="1" customWidth="1"/>
    <col min="4355" max="4355" width="9.5703125" style="1" customWidth="1"/>
    <col min="4356" max="4356" width="8.140625" style="1" customWidth="1"/>
    <col min="4357" max="4357" width="7.85546875" style="1" customWidth="1"/>
    <col min="4358" max="4359" width="7.42578125" style="1" customWidth="1"/>
    <col min="4360" max="4360" width="7.7109375" style="1" customWidth="1"/>
    <col min="4361" max="4361" width="6.42578125" style="1" customWidth="1"/>
    <col min="4362" max="4362" width="7" style="1" customWidth="1"/>
    <col min="4363" max="4363" width="7.140625" style="1" customWidth="1"/>
    <col min="4364" max="4609" width="11.42578125" style="1"/>
    <col min="4610" max="4610" width="31.28515625" style="1" customWidth="1"/>
    <col min="4611" max="4611" width="9.5703125" style="1" customWidth="1"/>
    <col min="4612" max="4612" width="8.140625" style="1" customWidth="1"/>
    <col min="4613" max="4613" width="7.85546875" style="1" customWidth="1"/>
    <col min="4614" max="4615" width="7.42578125" style="1" customWidth="1"/>
    <col min="4616" max="4616" width="7.7109375" style="1" customWidth="1"/>
    <col min="4617" max="4617" width="6.42578125" style="1" customWidth="1"/>
    <col min="4618" max="4618" width="7" style="1" customWidth="1"/>
    <col min="4619" max="4619" width="7.140625" style="1" customWidth="1"/>
    <col min="4620" max="4865" width="11.42578125" style="1"/>
    <col min="4866" max="4866" width="31.28515625" style="1" customWidth="1"/>
    <col min="4867" max="4867" width="9.5703125" style="1" customWidth="1"/>
    <col min="4868" max="4868" width="8.140625" style="1" customWidth="1"/>
    <col min="4869" max="4869" width="7.85546875" style="1" customWidth="1"/>
    <col min="4870" max="4871" width="7.42578125" style="1" customWidth="1"/>
    <col min="4872" max="4872" width="7.7109375" style="1" customWidth="1"/>
    <col min="4873" max="4873" width="6.42578125" style="1" customWidth="1"/>
    <col min="4874" max="4874" width="7" style="1" customWidth="1"/>
    <col min="4875" max="4875" width="7.140625" style="1" customWidth="1"/>
    <col min="4876" max="5121" width="11.42578125" style="1"/>
    <col min="5122" max="5122" width="31.28515625" style="1" customWidth="1"/>
    <col min="5123" max="5123" width="9.5703125" style="1" customWidth="1"/>
    <col min="5124" max="5124" width="8.140625" style="1" customWidth="1"/>
    <col min="5125" max="5125" width="7.85546875" style="1" customWidth="1"/>
    <col min="5126" max="5127" width="7.42578125" style="1" customWidth="1"/>
    <col min="5128" max="5128" width="7.7109375" style="1" customWidth="1"/>
    <col min="5129" max="5129" width="6.42578125" style="1" customWidth="1"/>
    <col min="5130" max="5130" width="7" style="1" customWidth="1"/>
    <col min="5131" max="5131" width="7.140625" style="1" customWidth="1"/>
    <col min="5132" max="5377" width="11.42578125" style="1"/>
    <col min="5378" max="5378" width="31.28515625" style="1" customWidth="1"/>
    <col min="5379" max="5379" width="9.5703125" style="1" customWidth="1"/>
    <col min="5380" max="5380" width="8.140625" style="1" customWidth="1"/>
    <col min="5381" max="5381" width="7.85546875" style="1" customWidth="1"/>
    <col min="5382" max="5383" width="7.42578125" style="1" customWidth="1"/>
    <col min="5384" max="5384" width="7.7109375" style="1" customWidth="1"/>
    <col min="5385" max="5385" width="6.42578125" style="1" customWidth="1"/>
    <col min="5386" max="5386" width="7" style="1" customWidth="1"/>
    <col min="5387" max="5387" width="7.140625" style="1" customWidth="1"/>
    <col min="5388" max="5633" width="11.42578125" style="1"/>
    <col min="5634" max="5634" width="31.28515625" style="1" customWidth="1"/>
    <col min="5635" max="5635" width="9.5703125" style="1" customWidth="1"/>
    <col min="5636" max="5636" width="8.140625" style="1" customWidth="1"/>
    <col min="5637" max="5637" width="7.85546875" style="1" customWidth="1"/>
    <col min="5638" max="5639" width="7.42578125" style="1" customWidth="1"/>
    <col min="5640" max="5640" width="7.7109375" style="1" customWidth="1"/>
    <col min="5641" max="5641" width="6.42578125" style="1" customWidth="1"/>
    <col min="5642" max="5642" width="7" style="1" customWidth="1"/>
    <col min="5643" max="5643" width="7.140625" style="1" customWidth="1"/>
    <col min="5644" max="5889" width="11.42578125" style="1"/>
    <col min="5890" max="5890" width="31.28515625" style="1" customWidth="1"/>
    <col min="5891" max="5891" width="9.5703125" style="1" customWidth="1"/>
    <col min="5892" max="5892" width="8.140625" style="1" customWidth="1"/>
    <col min="5893" max="5893" width="7.85546875" style="1" customWidth="1"/>
    <col min="5894" max="5895" width="7.42578125" style="1" customWidth="1"/>
    <col min="5896" max="5896" width="7.7109375" style="1" customWidth="1"/>
    <col min="5897" max="5897" width="6.42578125" style="1" customWidth="1"/>
    <col min="5898" max="5898" width="7" style="1" customWidth="1"/>
    <col min="5899" max="5899" width="7.140625" style="1" customWidth="1"/>
    <col min="5900" max="6145" width="11.42578125" style="1"/>
    <col min="6146" max="6146" width="31.28515625" style="1" customWidth="1"/>
    <col min="6147" max="6147" width="9.5703125" style="1" customWidth="1"/>
    <col min="6148" max="6148" width="8.140625" style="1" customWidth="1"/>
    <col min="6149" max="6149" width="7.85546875" style="1" customWidth="1"/>
    <col min="6150" max="6151" width="7.42578125" style="1" customWidth="1"/>
    <col min="6152" max="6152" width="7.7109375" style="1" customWidth="1"/>
    <col min="6153" max="6153" width="6.42578125" style="1" customWidth="1"/>
    <col min="6154" max="6154" width="7" style="1" customWidth="1"/>
    <col min="6155" max="6155" width="7.140625" style="1" customWidth="1"/>
    <col min="6156" max="6401" width="11.42578125" style="1"/>
    <col min="6402" max="6402" width="31.28515625" style="1" customWidth="1"/>
    <col min="6403" max="6403" width="9.5703125" style="1" customWidth="1"/>
    <col min="6404" max="6404" width="8.140625" style="1" customWidth="1"/>
    <col min="6405" max="6405" width="7.85546875" style="1" customWidth="1"/>
    <col min="6406" max="6407" width="7.42578125" style="1" customWidth="1"/>
    <col min="6408" max="6408" width="7.7109375" style="1" customWidth="1"/>
    <col min="6409" max="6409" width="6.42578125" style="1" customWidth="1"/>
    <col min="6410" max="6410" width="7" style="1" customWidth="1"/>
    <col min="6411" max="6411" width="7.140625" style="1" customWidth="1"/>
    <col min="6412" max="6657" width="11.42578125" style="1"/>
    <col min="6658" max="6658" width="31.28515625" style="1" customWidth="1"/>
    <col min="6659" max="6659" width="9.5703125" style="1" customWidth="1"/>
    <col min="6660" max="6660" width="8.140625" style="1" customWidth="1"/>
    <col min="6661" max="6661" width="7.85546875" style="1" customWidth="1"/>
    <col min="6662" max="6663" width="7.42578125" style="1" customWidth="1"/>
    <col min="6664" max="6664" width="7.7109375" style="1" customWidth="1"/>
    <col min="6665" max="6665" width="6.42578125" style="1" customWidth="1"/>
    <col min="6666" max="6666" width="7" style="1" customWidth="1"/>
    <col min="6667" max="6667" width="7.140625" style="1" customWidth="1"/>
    <col min="6668" max="6913" width="11.42578125" style="1"/>
    <col min="6914" max="6914" width="31.28515625" style="1" customWidth="1"/>
    <col min="6915" max="6915" width="9.5703125" style="1" customWidth="1"/>
    <col min="6916" max="6916" width="8.140625" style="1" customWidth="1"/>
    <col min="6917" max="6917" width="7.85546875" style="1" customWidth="1"/>
    <col min="6918" max="6919" width="7.42578125" style="1" customWidth="1"/>
    <col min="6920" max="6920" width="7.7109375" style="1" customWidth="1"/>
    <col min="6921" max="6921" width="6.42578125" style="1" customWidth="1"/>
    <col min="6922" max="6922" width="7" style="1" customWidth="1"/>
    <col min="6923" max="6923" width="7.140625" style="1" customWidth="1"/>
    <col min="6924" max="7169" width="11.42578125" style="1"/>
    <col min="7170" max="7170" width="31.28515625" style="1" customWidth="1"/>
    <col min="7171" max="7171" width="9.5703125" style="1" customWidth="1"/>
    <col min="7172" max="7172" width="8.140625" style="1" customWidth="1"/>
    <col min="7173" max="7173" width="7.85546875" style="1" customWidth="1"/>
    <col min="7174" max="7175" width="7.42578125" style="1" customWidth="1"/>
    <col min="7176" max="7176" width="7.7109375" style="1" customWidth="1"/>
    <col min="7177" max="7177" width="6.42578125" style="1" customWidth="1"/>
    <col min="7178" max="7178" width="7" style="1" customWidth="1"/>
    <col min="7179" max="7179" width="7.140625" style="1" customWidth="1"/>
    <col min="7180" max="7425" width="11.42578125" style="1"/>
    <col min="7426" max="7426" width="31.28515625" style="1" customWidth="1"/>
    <col min="7427" max="7427" width="9.5703125" style="1" customWidth="1"/>
    <col min="7428" max="7428" width="8.140625" style="1" customWidth="1"/>
    <col min="7429" max="7429" width="7.85546875" style="1" customWidth="1"/>
    <col min="7430" max="7431" width="7.42578125" style="1" customWidth="1"/>
    <col min="7432" max="7432" width="7.7109375" style="1" customWidth="1"/>
    <col min="7433" max="7433" width="6.42578125" style="1" customWidth="1"/>
    <col min="7434" max="7434" width="7" style="1" customWidth="1"/>
    <col min="7435" max="7435" width="7.140625" style="1" customWidth="1"/>
    <col min="7436" max="7681" width="11.42578125" style="1"/>
    <col min="7682" max="7682" width="31.28515625" style="1" customWidth="1"/>
    <col min="7683" max="7683" width="9.5703125" style="1" customWidth="1"/>
    <col min="7684" max="7684" width="8.140625" style="1" customWidth="1"/>
    <col min="7685" max="7685" width="7.85546875" style="1" customWidth="1"/>
    <col min="7686" max="7687" width="7.42578125" style="1" customWidth="1"/>
    <col min="7688" max="7688" width="7.7109375" style="1" customWidth="1"/>
    <col min="7689" max="7689" width="6.42578125" style="1" customWidth="1"/>
    <col min="7690" max="7690" width="7" style="1" customWidth="1"/>
    <col min="7691" max="7691" width="7.140625" style="1" customWidth="1"/>
    <col min="7692" max="7937" width="11.42578125" style="1"/>
    <col min="7938" max="7938" width="31.28515625" style="1" customWidth="1"/>
    <col min="7939" max="7939" width="9.5703125" style="1" customWidth="1"/>
    <col min="7940" max="7940" width="8.140625" style="1" customWidth="1"/>
    <col min="7941" max="7941" width="7.85546875" style="1" customWidth="1"/>
    <col min="7942" max="7943" width="7.42578125" style="1" customWidth="1"/>
    <col min="7944" max="7944" width="7.7109375" style="1" customWidth="1"/>
    <col min="7945" max="7945" width="6.42578125" style="1" customWidth="1"/>
    <col min="7946" max="7946" width="7" style="1" customWidth="1"/>
    <col min="7947" max="7947" width="7.140625" style="1" customWidth="1"/>
    <col min="7948" max="8193" width="11.42578125" style="1"/>
    <col min="8194" max="8194" width="31.28515625" style="1" customWidth="1"/>
    <col min="8195" max="8195" width="9.5703125" style="1" customWidth="1"/>
    <col min="8196" max="8196" width="8.140625" style="1" customWidth="1"/>
    <col min="8197" max="8197" width="7.85546875" style="1" customWidth="1"/>
    <col min="8198" max="8199" width="7.42578125" style="1" customWidth="1"/>
    <col min="8200" max="8200" width="7.7109375" style="1" customWidth="1"/>
    <col min="8201" max="8201" width="6.42578125" style="1" customWidth="1"/>
    <col min="8202" max="8202" width="7" style="1" customWidth="1"/>
    <col min="8203" max="8203" width="7.140625" style="1" customWidth="1"/>
    <col min="8204" max="8449" width="11.42578125" style="1"/>
    <col min="8450" max="8450" width="31.28515625" style="1" customWidth="1"/>
    <col min="8451" max="8451" width="9.5703125" style="1" customWidth="1"/>
    <col min="8452" max="8452" width="8.140625" style="1" customWidth="1"/>
    <col min="8453" max="8453" width="7.85546875" style="1" customWidth="1"/>
    <col min="8454" max="8455" width="7.42578125" style="1" customWidth="1"/>
    <col min="8456" max="8456" width="7.7109375" style="1" customWidth="1"/>
    <col min="8457" max="8457" width="6.42578125" style="1" customWidth="1"/>
    <col min="8458" max="8458" width="7" style="1" customWidth="1"/>
    <col min="8459" max="8459" width="7.140625" style="1" customWidth="1"/>
    <col min="8460" max="8705" width="11.42578125" style="1"/>
    <col min="8706" max="8706" width="31.28515625" style="1" customWidth="1"/>
    <col min="8707" max="8707" width="9.5703125" style="1" customWidth="1"/>
    <col min="8708" max="8708" width="8.140625" style="1" customWidth="1"/>
    <col min="8709" max="8709" width="7.85546875" style="1" customWidth="1"/>
    <col min="8710" max="8711" width="7.42578125" style="1" customWidth="1"/>
    <col min="8712" max="8712" width="7.7109375" style="1" customWidth="1"/>
    <col min="8713" max="8713" width="6.42578125" style="1" customWidth="1"/>
    <col min="8714" max="8714" width="7" style="1" customWidth="1"/>
    <col min="8715" max="8715" width="7.140625" style="1" customWidth="1"/>
    <col min="8716" max="8961" width="11.42578125" style="1"/>
    <col min="8962" max="8962" width="31.28515625" style="1" customWidth="1"/>
    <col min="8963" max="8963" width="9.5703125" style="1" customWidth="1"/>
    <col min="8964" max="8964" width="8.140625" style="1" customWidth="1"/>
    <col min="8965" max="8965" width="7.85546875" style="1" customWidth="1"/>
    <col min="8966" max="8967" width="7.42578125" style="1" customWidth="1"/>
    <col min="8968" max="8968" width="7.7109375" style="1" customWidth="1"/>
    <col min="8969" max="8969" width="6.42578125" style="1" customWidth="1"/>
    <col min="8970" max="8970" width="7" style="1" customWidth="1"/>
    <col min="8971" max="8971" width="7.140625" style="1" customWidth="1"/>
    <col min="8972" max="9217" width="11.42578125" style="1"/>
    <col min="9218" max="9218" width="31.28515625" style="1" customWidth="1"/>
    <col min="9219" max="9219" width="9.5703125" style="1" customWidth="1"/>
    <col min="9220" max="9220" width="8.140625" style="1" customWidth="1"/>
    <col min="9221" max="9221" width="7.85546875" style="1" customWidth="1"/>
    <col min="9222" max="9223" width="7.42578125" style="1" customWidth="1"/>
    <col min="9224" max="9224" width="7.7109375" style="1" customWidth="1"/>
    <col min="9225" max="9225" width="6.42578125" style="1" customWidth="1"/>
    <col min="9226" max="9226" width="7" style="1" customWidth="1"/>
    <col min="9227" max="9227" width="7.140625" style="1" customWidth="1"/>
    <col min="9228" max="9473" width="11.42578125" style="1"/>
    <col min="9474" max="9474" width="31.28515625" style="1" customWidth="1"/>
    <col min="9475" max="9475" width="9.5703125" style="1" customWidth="1"/>
    <col min="9476" max="9476" width="8.140625" style="1" customWidth="1"/>
    <col min="9477" max="9477" width="7.85546875" style="1" customWidth="1"/>
    <col min="9478" max="9479" width="7.42578125" style="1" customWidth="1"/>
    <col min="9480" max="9480" width="7.7109375" style="1" customWidth="1"/>
    <col min="9481" max="9481" width="6.42578125" style="1" customWidth="1"/>
    <col min="9482" max="9482" width="7" style="1" customWidth="1"/>
    <col min="9483" max="9483" width="7.140625" style="1" customWidth="1"/>
    <col min="9484" max="9729" width="11.42578125" style="1"/>
    <col min="9730" max="9730" width="31.28515625" style="1" customWidth="1"/>
    <col min="9731" max="9731" width="9.5703125" style="1" customWidth="1"/>
    <col min="9732" max="9732" width="8.140625" style="1" customWidth="1"/>
    <col min="9733" max="9733" width="7.85546875" style="1" customWidth="1"/>
    <col min="9734" max="9735" width="7.42578125" style="1" customWidth="1"/>
    <col min="9736" max="9736" width="7.7109375" style="1" customWidth="1"/>
    <col min="9737" max="9737" width="6.42578125" style="1" customWidth="1"/>
    <col min="9738" max="9738" width="7" style="1" customWidth="1"/>
    <col min="9739" max="9739" width="7.140625" style="1" customWidth="1"/>
    <col min="9740" max="9985" width="11.42578125" style="1"/>
    <col min="9986" max="9986" width="31.28515625" style="1" customWidth="1"/>
    <col min="9987" max="9987" width="9.5703125" style="1" customWidth="1"/>
    <col min="9988" max="9988" width="8.140625" style="1" customWidth="1"/>
    <col min="9989" max="9989" width="7.85546875" style="1" customWidth="1"/>
    <col min="9990" max="9991" width="7.42578125" style="1" customWidth="1"/>
    <col min="9992" max="9992" width="7.7109375" style="1" customWidth="1"/>
    <col min="9993" max="9993" width="6.42578125" style="1" customWidth="1"/>
    <col min="9994" max="9994" width="7" style="1" customWidth="1"/>
    <col min="9995" max="9995" width="7.140625" style="1" customWidth="1"/>
    <col min="9996" max="10241" width="11.42578125" style="1"/>
    <col min="10242" max="10242" width="31.28515625" style="1" customWidth="1"/>
    <col min="10243" max="10243" width="9.5703125" style="1" customWidth="1"/>
    <col min="10244" max="10244" width="8.140625" style="1" customWidth="1"/>
    <col min="10245" max="10245" width="7.85546875" style="1" customWidth="1"/>
    <col min="10246" max="10247" width="7.42578125" style="1" customWidth="1"/>
    <col min="10248" max="10248" width="7.7109375" style="1" customWidth="1"/>
    <col min="10249" max="10249" width="6.42578125" style="1" customWidth="1"/>
    <col min="10250" max="10250" width="7" style="1" customWidth="1"/>
    <col min="10251" max="10251" width="7.140625" style="1" customWidth="1"/>
    <col min="10252" max="10497" width="11.42578125" style="1"/>
    <col min="10498" max="10498" width="31.28515625" style="1" customWidth="1"/>
    <col min="10499" max="10499" width="9.5703125" style="1" customWidth="1"/>
    <col min="10500" max="10500" width="8.140625" style="1" customWidth="1"/>
    <col min="10501" max="10501" width="7.85546875" style="1" customWidth="1"/>
    <col min="10502" max="10503" width="7.42578125" style="1" customWidth="1"/>
    <col min="10504" max="10504" width="7.7109375" style="1" customWidth="1"/>
    <col min="10505" max="10505" width="6.42578125" style="1" customWidth="1"/>
    <col min="10506" max="10506" width="7" style="1" customWidth="1"/>
    <col min="10507" max="10507" width="7.140625" style="1" customWidth="1"/>
    <col min="10508" max="10753" width="11.42578125" style="1"/>
    <col min="10754" max="10754" width="31.28515625" style="1" customWidth="1"/>
    <col min="10755" max="10755" width="9.5703125" style="1" customWidth="1"/>
    <col min="10756" max="10756" width="8.140625" style="1" customWidth="1"/>
    <col min="10757" max="10757" width="7.85546875" style="1" customWidth="1"/>
    <col min="10758" max="10759" width="7.42578125" style="1" customWidth="1"/>
    <col min="10760" max="10760" width="7.7109375" style="1" customWidth="1"/>
    <col min="10761" max="10761" width="6.42578125" style="1" customWidth="1"/>
    <col min="10762" max="10762" width="7" style="1" customWidth="1"/>
    <col min="10763" max="10763" width="7.140625" style="1" customWidth="1"/>
    <col min="10764" max="11009" width="11.42578125" style="1"/>
    <col min="11010" max="11010" width="31.28515625" style="1" customWidth="1"/>
    <col min="11011" max="11011" width="9.5703125" style="1" customWidth="1"/>
    <col min="11012" max="11012" width="8.140625" style="1" customWidth="1"/>
    <col min="11013" max="11013" width="7.85546875" style="1" customWidth="1"/>
    <col min="11014" max="11015" width="7.42578125" style="1" customWidth="1"/>
    <col min="11016" max="11016" width="7.7109375" style="1" customWidth="1"/>
    <col min="11017" max="11017" width="6.42578125" style="1" customWidth="1"/>
    <col min="11018" max="11018" width="7" style="1" customWidth="1"/>
    <col min="11019" max="11019" width="7.140625" style="1" customWidth="1"/>
    <col min="11020" max="11265" width="11.42578125" style="1"/>
    <col min="11266" max="11266" width="31.28515625" style="1" customWidth="1"/>
    <col min="11267" max="11267" width="9.5703125" style="1" customWidth="1"/>
    <col min="11268" max="11268" width="8.140625" style="1" customWidth="1"/>
    <col min="11269" max="11269" width="7.85546875" style="1" customWidth="1"/>
    <col min="11270" max="11271" width="7.42578125" style="1" customWidth="1"/>
    <col min="11272" max="11272" width="7.7109375" style="1" customWidth="1"/>
    <col min="11273" max="11273" width="6.42578125" style="1" customWidth="1"/>
    <col min="11274" max="11274" width="7" style="1" customWidth="1"/>
    <col min="11275" max="11275" width="7.140625" style="1" customWidth="1"/>
    <col min="11276" max="11521" width="11.42578125" style="1"/>
    <col min="11522" max="11522" width="31.28515625" style="1" customWidth="1"/>
    <col min="11523" max="11523" width="9.5703125" style="1" customWidth="1"/>
    <col min="11524" max="11524" width="8.140625" style="1" customWidth="1"/>
    <col min="11525" max="11525" width="7.85546875" style="1" customWidth="1"/>
    <col min="11526" max="11527" width="7.42578125" style="1" customWidth="1"/>
    <col min="11528" max="11528" width="7.7109375" style="1" customWidth="1"/>
    <col min="11529" max="11529" width="6.42578125" style="1" customWidth="1"/>
    <col min="11530" max="11530" width="7" style="1" customWidth="1"/>
    <col min="11531" max="11531" width="7.140625" style="1" customWidth="1"/>
    <col min="11532" max="11777" width="11.42578125" style="1"/>
    <col min="11778" max="11778" width="31.28515625" style="1" customWidth="1"/>
    <col min="11779" max="11779" width="9.5703125" style="1" customWidth="1"/>
    <col min="11780" max="11780" width="8.140625" style="1" customWidth="1"/>
    <col min="11781" max="11781" width="7.85546875" style="1" customWidth="1"/>
    <col min="11782" max="11783" width="7.42578125" style="1" customWidth="1"/>
    <col min="11784" max="11784" width="7.7109375" style="1" customWidth="1"/>
    <col min="11785" max="11785" width="6.42578125" style="1" customWidth="1"/>
    <col min="11786" max="11786" width="7" style="1" customWidth="1"/>
    <col min="11787" max="11787" width="7.140625" style="1" customWidth="1"/>
    <col min="11788" max="12033" width="11.42578125" style="1"/>
    <col min="12034" max="12034" width="31.28515625" style="1" customWidth="1"/>
    <col min="12035" max="12035" width="9.5703125" style="1" customWidth="1"/>
    <col min="12036" max="12036" width="8.140625" style="1" customWidth="1"/>
    <col min="12037" max="12037" width="7.85546875" style="1" customWidth="1"/>
    <col min="12038" max="12039" width="7.42578125" style="1" customWidth="1"/>
    <col min="12040" max="12040" width="7.7109375" style="1" customWidth="1"/>
    <col min="12041" max="12041" width="6.42578125" style="1" customWidth="1"/>
    <col min="12042" max="12042" width="7" style="1" customWidth="1"/>
    <col min="12043" max="12043" width="7.140625" style="1" customWidth="1"/>
    <col min="12044" max="12289" width="11.42578125" style="1"/>
    <col min="12290" max="12290" width="31.28515625" style="1" customWidth="1"/>
    <col min="12291" max="12291" width="9.5703125" style="1" customWidth="1"/>
    <col min="12292" max="12292" width="8.140625" style="1" customWidth="1"/>
    <col min="12293" max="12293" width="7.85546875" style="1" customWidth="1"/>
    <col min="12294" max="12295" width="7.42578125" style="1" customWidth="1"/>
    <col min="12296" max="12296" width="7.7109375" style="1" customWidth="1"/>
    <col min="12297" max="12297" width="6.42578125" style="1" customWidth="1"/>
    <col min="12298" max="12298" width="7" style="1" customWidth="1"/>
    <col min="12299" max="12299" width="7.140625" style="1" customWidth="1"/>
    <col min="12300" max="12545" width="11.42578125" style="1"/>
    <col min="12546" max="12546" width="31.28515625" style="1" customWidth="1"/>
    <col min="12547" max="12547" width="9.5703125" style="1" customWidth="1"/>
    <col min="12548" max="12548" width="8.140625" style="1" customWidth="1"/>
    <col min="12549" max="12549" width="7.85546875" style="1" customWidth="1"/>
    <col min="12550" max="12551" width="7.42578125" style="1" customWidth="1"/>
    <col min="12552" max="12552" width="7.7109375" style="1" customWidth="1"/>
    <col min="12553" max="12553" width="6.42578125" style="1" customWidth="1"/>
    <col min="12554" max="12554" width="7" style="1" customWidth="1"/>
    <col min="12555" max="12555" width="7.140625" style="1" customWidth="1"/>
    <col min="12556" max="12801" width="11.42578125" style="1"/>
    <col min="12802" max="12802" width="31.28515625" style="1" customWidth="1"/>
    <col min="12803" max="12803" width="9.5703125" style="1" customWidth="1"/>
    <col min="12804" max="12804" width="8.140625" style="1" customWidth="1"/>
    <col min="12805" max="12805" width="7.85546875" style="1" customWidth="1"/>
    <col min="12806" max="12807" width="7.42578125" style="1" customWidth="1"/>
    <col min="12808" max="12808" width="7.7109375" style="1" customWidth="1"/>
    <col min="12809" max="12809" width="6.42578125" style="1" customWidth="1"/>
    <col min="12810" max="12810" width="7" style="1" customWidth="1"/>
    <col min="12811" max="12811" width="7.140625" style="1" customWidth="1"/>
    <col min="12812" max="13057" width="11.42578125" style="1"/>
    <col min="13058" max="13058" width="31.28515625" style="1" customWidth="1"/>
    <col min="13059" max="13059" width="9.5703125" style="1" customWidth="1"/>
    <col min="13060" max="13060" width="8.140625" style="1" customWidth="1"/>
    <col min="13061" max="13061" width="7.85546875" style="1" customWidth="1"/>
    <col min="13062" max="13063" width="7.42578125" style="1" customWidth="1"/>
    <col min="13064" max="13064" width="7.7109375" style="1" customWidth="1"/>
    <col min="13065" max="13065" width="6.42578125" style="1" customWidth="1"/>
    <col min="13066" max="13066" width="7" style="1" customWidth="1"/>
    <col min="13067" max="13067" width="7.140625" style="1" customWidth="1"/>
    <col min="13068" max="13313" width="11.42578125" style="1"/>
    <col min="13314" max="13314" width="31.28515625" style="1" customWidth="1"/>
    <col min="13315" max="13315" width="9.5703125" style="1" customWidth="1"/>
    <col min="13316" max="13316" width="8.140625" style="1" customWidth="1"/>
    <col min="13317" max="13317" width="7.85546875" style="1" customWidth="1"/>
    <col min="13318" max="13319" width="7.42578125" style="1" customWidth="1"/>
    <col min="13320" max="13320" width="7.7109375" style="1" customWidth="1"/>
    <col min="13321" max="13321" width="6.42578125" style="1" customWidth="1"/>
    <col min="13322" max="13322" width="7" style="1" customWidth="1"/>
    <col min="13323" max="13323" width="7.140625" style="1" customWidth="1"/>
    <col min="13324" max="13569" width="11.42578125" style="1"/>
    <col min="13570" max="13570" width="31.28515625" style="1" customWidth="1"/>
    <col min="13571" max="13571" width="9.5703125" style="1" customWidth="1"/>
    <col min="13572" max="13572" width="8.140625" style="1" customWidth="1"/>
    <col min="13573" max="13573" width="7.85546875" style="1" customWidth="1"/>
    <col min="13574" max="13575" width="7.42578125" style="1" customWidth="1"/>
    <col min="13576" max="13576" width="7.7109375" style="1" customWidth="1"/>
    <col min="13577" max="13577" width="6.42578125" style="1" customWidth="1"/>
    <col min="13578" max="13578" width="7" style="1" customWidth="1"/>
    <col min="13579" max="13579" width="7.140625" style="1" customWidth="1"/>
    <col min="13580" max="13825" width="11.42578125" style="1"/>
    <col min="13826" max="13826" width="31.28515625" style="1" customWidth="1"/>
    <col min="13827" max="13827" width="9.5703125" style="1" customWidth="1"/>
    <col min="13828" max="13828" width="8.140625" style="1" customWidth="1"/>
    <col min="13829" max="13829" width="7.85546875" style="1" customWidth="1"/>
    <col min="13830" max="13831" width="7.42578125" style="1" customWidth="1"/>
    <col min="13832" max="13832" width="7.7109375" style="1" customWidth="1"/>
    <col min="13833" max="13833" width="6.42578125" style="1" customWidth="1"/>
    <col min="13834" max="13834" width="7" style="1" customWidth="1"/>
    <col min="13835" max="13835" width="7.140625" style="1" customWidth="1"/>
    <col min="13836" max="14081" width="11.42578125" style="1"/>
    <col min="14082" max="14082" width="31.28515625" style="1" customWidth="1"/>
    <col min="14083" max="14083" width="9.5703125" style="1" customWidth="1"/>
    <col min="14084" max="14084" width="8.140625" style="1" customWidth="1"/>
    <col min="14085" max="14085" width="7.85546875" style="1" customWidth="1"/>
    <col min="14086" max="14087" width="7.42578125" style="1" customWidth="1"/>
    <col min="14088" max="14088" width="7.7109375" style="1" customWidth="1"/>
    <col min="14089" max="14089" width="6.42578125" style="1" customWidth="1"/>
    <col min="14090" max="14090" width="7" style="1" customWidth="1"/>
    <col min="14091" max="14091" width="7.140625" style="1" customWidth="1"/>
    <col min="14092" max="14337" width="11.42578125" style="1"/>
    <col min="14338" max="14338" width="31.28515625" style="1" customWidth="1"/>
    <col min="14339" max="14339" width="9.5703125" style="1" customWidth="1"/>
    <col min="14340" max="14340" width="8.140625" style="1" customWidth="1"/>
    <col min="14341" max="14341" width="7.85546875" style="1" customWidth="1"/>
    <col min="14342" max="14343" width="7.42578125" style="1" customWidth="1"/>
    <col min="14344" max="14344" width="7.7109375" style="1" customWidth="1"/>
    <col min="14345" max="14345" width="6.42578125" style="1" customWidth="1"/>
    <col min="14346" max="14346" width="7" style="1" customWidth="1"/>
    <col min="14347" max="14347" width="7.140625" style="1" customWidth="1"/>
    <col min="14348" max="14593" width="11.42578125" style="1"/>
    <col min="14594" max="14594" width="31.28515625" style="1" customWidth="1"/>
    <col min="14595" max="14595" width="9.5703125" style="1" customWidth="1"/>
    <col min="14596" max="14596" width="8.140625" style="1" customWidth="1"/>
    <col min="14597" max="14597" width="7.85546875" style="1" customWidth="1"/>
    <col min="14598" max="14599" width="7.42578125" style="1" customWidth="1"/>
    <col min="14600" max="14600" width="7.7109375" style="1" customWidth="1"/>
    <col min="14601" max="14601" width="6.42578125" style="1" customWidth="1"/>
    <col min="14602" max="14602" width="7" style="1" customWidth="1"/>
    <col min="14603" max="14603" width="7.140625" style="1" customWidth="1"/>
    <col min="14604" max="14849" width="11.42578125" style="1"/>
    <col min="14850" max="14850" width="31.28515625" style="1" customWidth="1"/>
    <col min="14851" max="14851" width="9.5703125" style="1" customWidth="1"/>
    <col min="14852" max="14852" width="8.140625" style="1" customWidth="1"/>
    <col min="14853" max="14853" width="7.85546875" style="1" customWidth="1"/>
    <col min="14854" max="14855" width="7.42578125" style="1" customWidth="1"/>
    <col min="14856" max="14856" width="7.7109375" style="1" customWidth="1"/>
    <col min="14857" max="14857" width="6.42578125" style="1" customWidth="1"/>
    <col min="14858" max="14858" width="7" style="1" customWidth="1"/>
    <col min="14859" max="14859" width="7.140625" style="1" customWidth="1"/>
    <col min="14860" max="15105" width="11.42578125" style="1"/>
    <col min="15106" max="15106" width="31.28515625" style="1" customWidth="1"/>
    <col min="15107" max="15107" width="9.5703125" style="1" customWidth="1"/>
    <col min="15108" max="15108" width="8.140625" style="1" customWidth="1"/>
    <col min="15109" max="15109" width="7.85546875" style="1" customWidth="1"/>
    <col min="15110" max="15111" width="7.42578125" style="1" customWidth="1"/>
    <col min="15112" max="15112" width="7.7109375" style="1" customWidth="1"/>
    <col min="15113" max="15113" width="6.42578125" style="1" customWidth="1"/>
    <col min="15114" max="15114" width="7" style="1" customWidth="1"/>
    <col min="15115" max="15115" width="7.140625" style="1" customWidth="1"/>
    <col min="15116" max="15361" width="11.42578125" style="1"/>
    <col min="15362" max="15362" width="31.28515625" style="1" customWidth="1"/>
    <col min="15363" max="15363" width="9.5703125" style="1" customWidth="1"/>
    <col min="15364" max="15364" width="8.140625" style="1" customWidth="1"/>
    <col min="15365" max="15365" width="7.85546875" style="1" customWidth="1"/>
    <col min="15366" max="15367" width="7.42578125" style="1" customWidth="1"/>
    <col min="15368" max="15368" width="7.7109375" style="1" customWidth="1"/>
    <col min="15369" max="15369" width="6.42578125" style="1" customWidth="1"/>
    <col min="15370" max="15370" width="7" style="1" customWidth="1"/>
    <col min="15371" max="15371" width="7.140625" style="1" customWidth="1"/>
    <col min="15372" max="15617" width="11.42578125" style="1"/>
    <col min="15618" max="15618" width="31.28515625" style="1" customWidth="1"/>
    <col min="15619" max="15619" width="9.5703125" style="1" customWidth="1"/>
    <col min="15620" max="15620" width="8.140625" style="1" customWidth="1"/>
    <col min="15621" max="15621" width="7.85546875" style="1" customWidth="1"/>
    <col min="15622" max="15623" width="7.42578125" style="1" customWidth="1"/>
    <col min="15624" max="15624" width="7.7109375" style="1" customWidth="1"/>
    <col min="15625" max="15625" width="6.42578125" style="1" customWidth="1"/>
    <col min="15626" max="15626" width="7" style="1" customWidth="1"/>
    <col min="15627" max="15627" width="7.140625" style="1" customWidth="1"/>
    <col min="15628" max="15873" width="11.42578125" style="1"/>
    <col min="15874" max="15874" width="31.28515625" style="1" customWidth="1"/>
    <col min="15875" max="15875" width="9.5703125" style="1" customWidth="1"/>
    <col min="15876" max="15876" width="8.140625" style="1" customWidth="1"/>
    <col min="15877" max="15877" width="7.85546875" style="1" customWidth="1"/>
    <col min="15878" max="15879" width="7.42578125" style="1" customWidth="1"/>
    <col min="15880" max="15880" width="7.7109375" style="1" customWidth="1"/>
    <col min="15881" max="15881" width="6.42578125" style="1" customWidth="1"/>
    <col min="15882" max="15882" width="7" style="1" customWidth="1"/>
    <col min="15883" max="15883" width="7.140625" style="1" customWidth="1"/>
    <col min="15884" max="16129" width="11.42578125" style="1"/>
    <col min="16130" max="16130" width="31.28515625" style="1" customWidth="1"/>
    <col min="16131" max="16131" width="9.5703125" style="1" customWidth="1"/>
    <col min="16132" max="16132" width="8.140625" style="1" customWidth="1"/>
    <col min="16133" max="16133" width="7.85546875" style="1" customWidth="1"/>
    <col min="16134" max="16135" width="7.42578125" style="1" customWidth="1"/>
    <col min="16136" max="16136" width="7.7109375" style="1" customWidth="1"/>
    <col min="16137" max="16137" width="6.42578125" style="1" customWidth="1"/>
    <col min="16138" max="16138" width="7" style="1" customWidth="1"/>
    <col min="16139" max="16139" width="7.140625" style="1" customWidth="1"/>
    <col min="16140" max="16384" width="11.42578125" style="1"/>
  </cols>
  <sheetData>
    <row r="1" spans="1:12" ht="18.75" x14ac:dyDescent="0.3">
      <c r="B1" s="284" t="s">
        <v>194</v>
      </c>
    </row>
    <row r="2" spans="1:12" x14ac:dyDescent="0.2">
      <c r="D2" s="87"/>
      <c r="E2" s="87"/>
      <c r="F2" s="87"/>
      <c r="I2" s="87"/>
      <c r="J2" s="87"/>
      <c r="K2" s="87"/>
    </row>
    <row r="3" spans="1:12" x14ac:dyDescent="0.2">
      <c r="B3" s="89"/>
      <c r="C3" s="89" t="s">
        <v>146</v>
      </c>
      <c r="D3" s="285"/>
      <c r="E3" s="286"/>
      <c r="F3" s="92"/>
      <c r="G3" s="92" t="s">
        <v>46</v>
      </c>
      <c r="H3" s="92"/>
      <c r="I3" s="203"/>
      <c r="J3" s="92"/>
      <c r="K3" s="203"/>
      <c r="L3" s="95"/>
    </row>
    <row r="4" spans="1:12" x14ac:dyDescent="0.2">
      <c r="B4" s="90" t="s">
        <v>47</v>
      </c>
      <c r="C4" s="242" t="s">
        <v>147</v>
      </c>
      <c r="D4" s="90" t="s">
        <v>195</v>
      </c>
      <c r="E4" s="90" t="s">
        <v>94</v>
      </c>
      <c r="F4" s="96" t="s">
        <v>196</v>
      </c>
      <c r="G4" s="97" t="s">
        <v>94</v>
      </c>
      <c r="H4" s="90" t="s">
        <v>197</v>
      </c>
      <c r="I4" s="90" t="s">
        <v>94</v>
      </c>
      <c r="J4" s="287" t="s">
        <v>198</v>
      </c>
      <c r="K4" s="90" t="s">
        <v>94</v>
      </c>
      <c r="L4" s="95"/>
    </row>
    <row r="5" spans="1:12" x14ac:dyDescent="0.2">
      <c r="B5" s="99"/>
      <c r="C5" s="99" t="s">
        <v>150</v>
      </c>
      <c r="D5" s="99"/>
      <c r="E5" s="99" t="s">
        <v>50</v>
      </c>
      <c r="F5" s="99"/>
      <c r="G5" s="99" t="s">
        <v>50</v>
      </c>
      <c r="H5" s="99" t="s">
        <v>199</v>
      </c>
      <c r="I5" s="99" t="s">
        <v>50</v>
      </c>
      <c r="J5" s="244" t="s">
        <v>195</v>
      </c>
      <c r="K5" s="99" t="s">
        <v>50</v>
      </c>
      <c r="L5" s="95"/>
    </row>
    <row r="6" spans="1:12" x14ac:dyDescent="0.2">
      <c r="A6" s="85"/>
      <c r="B6" s="288" t="s">
        <v>200</v>
      </c>
      <c r="C6" s="206"/>
      <c r="D6" s="183"/>
      <c r="E6" s="183"/>
      <c r="F6" s="183"/>
      <c r="G6" s="183"/>
      <c r="H6" s="183"/>
      <c r="I6" s="183"/>
      <c r="J6" s="183"/>
      <c r="K6" s="183"/>
      <c r="L6" s="95"/>
    </row>
    <row r="7" spans="1:12" x14ac:dyDescent="0.2">
      <c r="A7" s="85"/>
      <c r="B7" s="289" t="s">
        <v>201</v>
      </c>
      <c r="C7" s="212">
        <v>121</v>
      </c>
      <c r="D7" s="213">
        <v>0.05</v>
      </c>
      <c r="E7" s="290">
        <f>C7*D7</f>
        <v>6.0500000000000007</v>
      </c>
      <c r="F7" s="271"/>
      <c r="G7" s="268"/>
      <c r="H7" s="272"/>
      <c r="I7" s="268"/>
      <c r="J7" s="291"/>
      <c r="K7" s="152"/>
      <c r="L7" s="95"/>
    </row>
    <row r="8" spans="1:12" x14ac:dyDescent="0.2">
      <c r="A8" s="85"/>
      <c r="B8" s="292" t="s">
        <v>202</v>
      </c>
      <c r="C8" s="145"/>
      <c r="D8" s="160"/>
      <c r="E8" s="293"/>
      <c r="F8" s="137"/>
      <c r="G8" s="123"/>
      <c r="H8" s="237"/>
      <c r="I8" s="123"/>
      <c r="J8" s="125"/>
      <c r="K8" s="156"/>
      <c r="L8" s="95"/>
    </row>
    <row r="9" spans="1:12" x14ac:dyDescent="0.2">
      <c r="A9" s="85"/>
      <c r="B9" s="294" t="s">
        <v>203</v>
      </c>
      <c r="C9" s="212"/>
      <c r="D9" s="213">
        <v>0.05</v>
      </c>
      <c r="E9" s="290">
        <f>C9*D9</f>
        <v>0</v>
      </c>
      <c r="F9" s="271"/>
      <c r="G9" s="268"/>
      <c r="H9" s="272"/>
      <c r="I9" s="268"/>
      <c r="J9" s="291"/>
      <c r="K9" s="152"/>
      <c r="L9" s="95"/>
    </row>
    <row r="10" spans="1:12" x14ac:dyDescent="0.2">
      <c r="A10" s="85"/>
      <c r="B10" s="292" t="s">
        <v>202</v>
      </c>
      <c r="C10" s="145"/>
      <c r="D10" s="160"/>
      <c r="E10" s="293"/>
      <c r="F10" s="137"/>
      <c r="G10" s="123"/>
      <c r="H10" s="237"/>
      <c r="I10" s="123"/>
      <c r="J10" s="125"/>
      <c r="K10" s="156"/>
      <c r="L10" s="95"/>
    </row>
    <row r="11" spans="1:12" x14ac:dyDescent="0.2">
      <c r="A11" s="85"/>
      <c r="B11" s="263" t="s">
        <v>204</v>
      </c>
      <c r="C11" s="130"/>
      <c r="D11" s="264"/>
      <c r="E11" s="295">
        <f>SUM(E7:E9)</f>
        <v>6.0500000000000007</v>
      </c>
      <c r="F11" s="134"/>
      <c r="G11" s="266"/>
      <c r="H11" s="265"/>
      <c r="I11" s="266"/>
      <c r="J11" s="265"/>
      <c r="K11" s="296"/>
      <c r="L11" s="95"/>
    </row>
    <row r="12" spans="1:12" x14ac:dyDescent="0.2">
      <c r="A12" s="85"/>
      <c r="B12" s="297" t="s">
        <v>205</v>
      </c>
      <c r="C12" s="118"/>
      <c r="D12" s="177"/>
      <c r="E12" s="298"/>
      <c r="F12" s="177"/>
      <c r="G12" s="171"/>
      <c r="H12" s="178"/>
      <c r="I12" s="171"/>
      <c r="J12" s="178"/>
      <c r="K12" s="171"/>
      <c r="L12" s="95"/>
    </row>
    <row r="13" spans="1:12" x14ac:dyDescent="0.2">
      <c r="A13" s="85"/>
      <c r="B13" s="299" t="s">
        <v>206</v>
      </c>
      <c r="C13" s="111"/>
      <c r="D13" s="151"/>
      <c r="E13" s="300"/>
      <c r="F13" s="114">
        <v>0.77</v>
      </c>
      <c r="G13" s="113">
        <f>C13*F13</f>
        <v>0</v>
      </c>
      <c r="H13" s="191"/>
      <c r="I13" s="174"/>
      <c r="J13" s="191"/>
      <c r="K13" s="130"/>
      <c r="L13" s="95"/>
    </row>
    <row r="14" spans="1:12" x14ac:dyDescent="0.2">
      <c r="A14" s="85"/>
      <c r="B14" s="299" t="s">
        <v>207</v>
      </c>
      <c r="C14" s="301"/>
      <c r="D14" s="151"/>
      <c r="E14" s="300"/>
      <c r="F14" s="151"/>
      <c r="G14" s="174"/>
      <c r="H14" s="114">
        <v>2.1999999999999999E-2</v>
      </c>
      <c r="I14" s="113">
        <f>C14*H14</f>
        <v>0</v>
      </c>
      <c r="J14" s="191"/>
      <c r="K14" s="130"/>
      <c r="L14" s="95"/>
    </row>
    <row r="15" spans="1:12" x14ac:dyDescent="0.2">
      <c r="A15" s="85"/>
      <c r="B15" s="288" t="s">
        <v>208</v>
      </c>
      <c r="C15" s="118"/>
      <c r="D15" s="177"/>
      <c r="E15" s="302"/>
      <c r="F15" s="177"/>
      <c r="G15" s="171"/>
      <c r="H15" s="178"/>
      <c r="I15" s="171"/>
      <c r="J15" s="178"/>
      <c r="K15" s="171"/>
      <c r="L15" s="95"/>
    </row>
    <row r="16" spans="1:12" x14ac:dyDescent="0.2">
      <c r="A16" s="85"/>
      <c r="B16" s="303" t="s">
        <v>209</v>
      </c>
      <c r="C16" s="212"/>
      <c r="D16" s="213">
        <v>0.03</v>
      </c>
      <c r="E16" s="290">
        <f>C16*D16</f>
        <v>0</v>
      </c>
      <c r="F16" s="304"/>
      <c r="G16" s="268"/>
      <c r="H16" s="291"/>
      <c r="I16" s="268"/>
      <c r="J16" s="291"/>
      <c r="K16" s="152"/>
      <c r="L16" s="95"/>
    </row>
    <row r="17" spans="1:12" x14ac:dyDescent="0.2">
      <c r="A17" s="85"/>
      <c r="B17" s="305" t="s">
        <v>210</v>
      </c>
      <c r="C17" s="145"/>
      <c r="D17" s="160"/>
      <c r="E17" s="293"/>
      <c r="F17" s="306"/>
      <c r="G17" s="123"/>
      <c r="H17" s="125"/>
      <c r="I17" s="123"/>
      <c r="J17" s="125"/>
      <c r="K17" s="156"/>
      <c r="L17" s="95"/>
    </row>
    <row r="18" spans="1:12" x14ac:dyDescent="0.2">
      <c r="A18" s="85"/>
      <c r="B18" s="303" t="s">
        <v>211</v>
      </c>
      <c r="C18" s="212"/>
      <c r="D18" s="213">
        <v>0.05</v>
      </c>
      <c r="E18" s="290">
        <f>C18*D18</f>
        <v>0</v>
      </c>
      <c r="F18" s="304"/>
      <c r="G18" s="268"/>
      <c r="H18" s="291"/>
      <c r="I18" s="268"/>
      <c r="J18" s="291"/>
      <c r="K18" s="152"/>
      <c r="L18" s="95"/>
    </row>
    <row r="19" spans="1:12" x14ac:dyDescent="0.2">
      <c r="A19" s="85"/>
      <c r="B19" s="307" t="s">
        <v>212</v>
      </c>
      <c r="C19" s="139"/>
      <c r="D19" s="224"/>
      <c r="E19" s="308"/>
      <c r="F19" s="221"/>
      <c r="G19" s="118"/>
      <c r="H19" s="120"/>
      <c r="I19" s="118"/>
      <c r="J19" s="120"/>
      <c r="K19" s="309"/>
      <c r="L19" s="95"/>
    </row>
    <row r="20" spans="1:12" x14ac:dyDescent="0.2">
      <c r="A20" s="85"/>
      <c r="B20" s="305" t="s">
        <v>202</v>
      </c>
      <c r="C20" s="145"/>
      <c r="D20" s="160"/>
      <c r="E20" s="293"/>
      <c r="F20" s="306"/>
      <c r="G20" s="123"/>
      <c r="H20" s="125"/>
      <c r="I20" s="123"/>
      <c r="J20" s="125"/>
      <c r="K20" s="156"/>
      <c r="L20" s="95"/>
    </row>
    <row r="21" spans="1:12" x14ac:dyDescent="0.2">
      <c r="A21" s="85"/>
      <c r="B21" s="305" t="s">
        <v>213</v>
      </c>
      <c r="C21" s="145"/>
      <c r="D21" s="213">
        <v>0.05</v>
      </c>
      <c r="E21" s="290">
        <f>C21*D21</f>
        <v>0</v>
      </c>
      <c r="F21" s="151"/>
      <c r="G21" s="123"/>
      <c r="H21" s="125"/>
      <c r="I21" s="174"/>
      <c r="J21" s="191"/>
      <c r="K21" s="310"/>
      <c r="L21" s="95"/>
    </row>
    <row r="22" spans="1:12" x14ac:dyDescent="0.2">
      <c r="A22" s="85"/>
      <c r="B22" s="263" t="s">
        <v>214</v>
      </c>
      <c r="C22" s="130"/>
      <c r="D22" s="134"/>
      <c r="E22" s="295">
        <f>SUM(E16:E21)</f>
        <v>0</v>
      </c>
      <c r="F22" s="264"/>
      <c r="G22" s="130"/>
      <c r="H22" s="133"/>
      <c r="I22" s="174"/>
      <c r="J22" s="265"/>
      <c r="K22" s="174"/>
      <c r="L22" s="95"/>
    </row>
    <row r="23" spans="1:12" x14ac:dyDescent="0.2">
      <c r="A23" s="85"/>
      <c r="B23" s="288" t="s">
        <v>215</v>
      </c>
      <c r="C23" s="118"/>
      <c r="D23" s="137"/>
      <c r="E23" s="311"/>
      <c r="F23" s="177"/>
      <c r="G23" s="123"/>
      <c r="H23" s="125"/>
      <c r="I23" s="171"/>
      <c r="J23" s="178"/>
      <c r="K23" s="171"/>
      <c r="L23" s="95"/>
    </row>
    <row r="24" spans="1:12" x14ac:dyDescent="0.2">
      <c r="A24" s="85"/>
      <c r="B24" s="289" t="s">
        <v>216</v>
      </c>
      <c r="C24" s="212"/>
      <c r="D24" s="271"/>
      <c r="E24" s="312"/>
      <c r="F24" s="213">
        <v>2.1999999999999999E-2</v>
      </c>
      <c r="G24" s="214">
        <f>C24*F24</f>
        <v>0</v>
      </c>
      <c r="H24" s="291"/>
      <c r="I24" s="268"/>
      <c r="J24" s="213">
        <v>2.4E-2</v>
      </c>
      <c r="K24" s="215">
        <f>C24*J24</f>
        <v>0</v>
      </c>
      <c r="L24" s="95"/>
    </row>
    <row r="25" spans="1:12" x14ac:dyDescent="0.2">
      <c r="A25" s="85"/>
      <c r="B25" s="313" t="s">
        <v>217</v>
      </c>
      <c r="C25" s="145"/>
      <c r="D25" s="137"/>
      <c r="E25" s="311"/>
      <c r="F25" s="160"/>
      <c r="G25" s="145"/>
      <c r="H25" s="125"/>
      <c r="I25" s="123"/>
      <c r="J25" s="147"/>
      <c r="K25" s="233"/>
      <c r="L25" s="95"/>
    </row>
    <row r="26" spans="1:12" x14ac:dyDescent="0.2">
      <c r="A26" s="85"/>
      <c r="B26" s="299" t="s">
        <v>218</v>
      </c>
      <c r="C26" s="111"/>
      <c r="D26" s="114">
        <v>2.9000000000000001E-2</v>
      </c>
      <c r="E26" s="295">
        <f>C26*D26</f>
        <v>0</v>
      </c>
      <c r="F26" s="151"/>
      <c r="G26" s="174"/>
      <c r="H26" s="191"/>
      <c r="I26" s="174"/>
      <c r="J26" s="133"/>
      <c r="K26" s="174"/>
      <c r="L26" s="95"/>
    </row>
    <row r="27" spans="1:12" x14ac:dyDescent="0.2">
      <c r="A27" s="85"/>
      <c r="B27" s="288" t="s">
        <v>219</v>
      </c>
      <c r="C27" s="118"/>
      <c r="D27" s="178"/>
      <c r="E27" s="302"/>
      <c r="F27" s="177"/>
      <c r="G27" s="171"/>
      <c r="H27" s="178"/>
      <c r="I27" s="171"/>
      <c r="J27" s="178"/>
      <c r="K27" s="171"/>
      <c r="L27" s="95"/>
    </row>
    <row r="28" spans="1:12" x14ac:dyDescent="0.2">
      <c r="A28" s="85"/>
      <c r="B28" s="288" t="s">
        <v>220</v>
      </c>
      <c r="C28" s="118"/>
      <c r="D28" s="178"/>
      <c r="E28" s="302"/>
      <c r="F28" s="177"/>
      <c r="G28" s="171"/>
      <c r="H28" s="178"/>
      <c r="I28" s="171"/>
      <c r="J28" s="178"/>
      <c r="K28" s="171"/>
      <c r="L28" s="95"/>
    </row>
    <row r="29" spans="1:12" x14ac:dyDescent="0.2">
      <c r="A29" s="85"/>
      <c r="B29" s="299" t="s">
        <v>221</v>
      </c>
      <c r="C29" s="111"/>
      <c r="D29" s="114">
        <v>2.1999999999999999E-2</v>
      </c>
      <c r="E29" s="295">
        <f>C29*D29</f>
        <v>0</v>
      </c>
      <c r="F29" s="151"/>
      <c r="G29" s="174"/>
      <c r="H29" s="191"/>
      <c r="I29" s="174"/>
      <c r="J29" s="191"/>
      <c r="K29" s="130"/>
      <c r="L29" s="95"/>
    </row>
    <row r="30" spans="1:12" x14ac:dyDescent="0.2">
      <c r="A30" s="85"/>
      <c r="B30" s="299" t="s">
        <v>222</v>
      </c>
      <c r="C30" s="111"/>
      <c r="D30" s="114">
        <v>0.03</v>
      </c>
      <c r="E30" s="295">
        <f>C30*D30</f>
        <v>0</v>
      </c>
      <c r="F30" s="151"/>
      <c r="G30" s="174"/>
      <c r="H30" s="191"/>
      <c r="I30" s="174"/>
      <c r="J30" s="191"/>
      <c r="K30" s="130"/>
      <c r="L30" s="95"/>
    </row>
    <row r="31" spans="1:12" x14ac:dyDescent="0.2">
      <c r="A31" s="85"/>
      <c r="B31" s="299" t="s">
        <v>223</v>
      </c>
      <c r="C31" s="111"/>
      <c r="D31" s="114">
        <v>0.06</v>
      </c>
      <c r="E31" s="295">
        <f>C31*D31</f>
        <v>0</v>
      </c>
      <c r="F31" s="151"/>
      <c r="G31" s="174"/>
      <c r="H31" s="191"/>
      <c r="I31" s="174"/>
      <c r="J31" s="191"/>
      <c r="K31" s="130"/>
      <c r="L31" s="95"/>
    </row>
  </sheetData>
  <pageMargins left="0.75" right="0.75" top="1" bottom="1" header="0" footer="0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-0.249977111117893"/>
  </sheetPr>
  <dimension ref="A1:W36"/>
  <sheetViews>
    <sheetView zoomScale="85" zoomScaleNormal="85" workbookViewId="0">
      <selection activeCell="D29" sqref="D29"/>
    </sheetView>
  </sheetViews>
  <sheetFormatPr baseColWidth="10" defaultRowHeight="12.75" x14ac:dyDescent="0.2"/>
  <cols>
    <col min="1" max="1" width="1.28515625" style="1" customWidth="1"/>
    <col min="2" max="2" width="26.42578125" style="39" customWidth="1"/>
    <col min="3" max="3" width="7.5703125" style="39" hidden="1" customWidth="1"/>
    <col min="4" max="4" width="9.85546875" style="1" customWidth="1"/>
    <col min="5" max="5" width="3.140625" style="1" customWidth="1"/>
    <col min="6" max="6" width="3.42578125" style="1" customWidth="1"/>
    <col min="7" max="7" width="24.28515625" style="39" customWidth="1"/>
    <col min="8" max="8" width="7.7109375" style="1" customWidth="1"/>
    <col min="9" max="9" width="3.85546875" style="1" customWidth="1"/>
    <col min="10" max="10" width="3" style="1" customWidth="1"/>
    <col min="11" max="11" width="24" style="1" customWidth="1"/>
    <col min="12" max="12" width="8.7109375" style="1" customWidth="1"/>
    <col min="13" max="14" width="3" style="1" customWidth="1"/>
    <col min="15" max="15" width="6.85546875" style="1" hidden="1" customWidth="1"/>
    <col min="16" max="16" width="5.28515625" style="1" customWidth="1"/>
    <col min="17" max="17" width="23.140625" style="39" customWidth="1"/>
    <col min="18" max="18" width="7.5703125" style="1" customWidth="1"/>
    <col min="19" max="20" width="3.140625" style="1" customWidth="1"/>
    <col min="21" max="21" width="22.7109375" style="39" customWidth="1"/>
    <col min="22" max="22" width="8.140625" style="1" customWidth="1"/>
    <col min="23" max="23" width="3.5703125" style="1" customWidth="1"/>
    <col min="24" max="256" width="11.42578125" style="1"/>
    <col min="257" max="257" width="1.28515625" style="1" customWidth="1"/>
    <col min="258" max="258" width="26.42578125" style="1" customWidth="1"/>
    <col min="259" max="259" width="0" style="1" hidden="1" customWidth="1"/>
    <col min="260" max="260" width="7.28515625" style="1" customWidth="1"/>
    <col min="261" max="261" width="3.140625" style="1" customWidth="1"/>
    <col min="262" max="262" width="3.42578125" style="1" customWidth="1"/>
    <col min="263" max="263" width="24.28515625" style="1" customWidth="1"/>
    <col min="264" max="264" width="7.7109375" style="1" customWidth="1"/>
    <col min="265" max="265" width="3.85546875" style="1" customWidth="1"/>
    <col min="266" max="266" width="3" style="1" customWidth="1"/>
    <col min="267" max="267" width="24" style="1" customWidth="1"/>
    <col min="268" max="268" width="6.42578125" style="1" customWidth="1"/>
    <col min="269" max="270" width="3" style="1" customWidth="1"/>
    <col min="271" max="271" width="0" style="1" hidden="1" customWidth="1"/>
    <col min="272" max="272" width="3" style="1" bestFit="1" customWidth="1"/>
    <col min="273" max="273" width="23.140625" style="1" customWidth="1"/>
    <col min="274" max="274" width="7.5703125" style="1" customWidth="1"/>
    <col min="275" max="276" width="3.140625" style="1" customWidth="1"/>
    <col min="277" max="277" width="22.7109375" style="1" customWidth="1"/>
    <col min="278" max="278" width="8.140625" style="1" customWidth="1"/>
    <col min="279" max="279" width="3.5703125" style="1" customWidth="1"/>
    <col min="280" max="512" width="11.42578125" style="1"/>
    <col min="513" max="513" width="1.28515625" style="1" customWidth="1"/>
    <col min="514" max="514" width="26.42578125" style="1" customWidth="1"/>
    <col min="515" max="515" width="0" style="1" hidden="1" customWidth="1"/>
    <col min="516" max="516" width="7.28515625" style="1" customWidth="1"/>
    <col min="517" max="517" width="3.140625" style="1" customWidth="1"/>
    <col min="518" max="518" width="3.42578125" style="1" customWidth="1"/>
    <col min="519" max="519" width="24.28515625" style="1" customWidth="1"/>
    <col min="520" max="520" width="7.7109375" style="1" customWidth="1"/>
    <col min="521" max="521" width="3.85546875" style="1" customWidth="1"/>
    <col min="522" max="522" width="3" style="1" customWidth="1"/>
    <col min="523" max="523" width="24" style="1" customWidth="1"/>
    <col min="524" max="524" width="6.42578125" style="1" customWidth="1"/>
    <col min="525" max="526" width="3" style="1" customWidth="1"/>
    <col min="527" max="527" width="0" style="1" hidden="1" customWidth="1"/>
    <col min="528" max="528" width="3" style="1" bestFit="1" customWidth="1"/>
    <col min="529" max="529" width="23.140625" style="1" customWidth="1"/>
    <col min="530" max="530" width="7.5703125" style="1" customWidth="1"/>
    <col min="531" max="532" width="3.140625" style="1" customWidth="1"/>
    <col min="533" max="533" width="22.7109375" style="1" customWidth="1"/>
    <col min="534" max="534" width="8.140625" style="1" customWidth="1"/>
    <col min="535" max="535" width="3.5703125" style="1" customWidth="1"/>
    <col min="536" max="768" width="11.42578125" style="1"/>
    <col min="769" max="769" width="1.28515625" style="1" customWidth="1"/>
    <col min="770" max="770" width="26.42578125" style="1" customWidth="1"/>
    <col min="771" max="771" width="0" style="1" hidden="1" customWidth="1"/>
    <col min="772" max="772" width="7.28515625" style="1" customWidth="1"/>
    <col min="773" max="773" width="3.140625" style="1" customWidth="1"/>
    <col min="774" max="774" width="3.42578125" style="1" customWidth="1"/>
    <col min="775" max="775" width="24.28515625" style="1" customWidth="1"/>
    <col min="776" max="776" width="7.7109375" style="1" customWidth="1"/>
    <col min="777" max="777" width="3.85546875" style="1" customWidth="1"/>
    <col min="778" max="778" width="3" style="1" customWidth="1"/>
    <col min="779" max="779" width="24" style="1" customWidth="1"/>
    <col min="780" max="780" width="6.42578125" style="1" customWidth="1"/>
    <col min="781" max="782" width="3" style="1" customWidth="1"/>
    <col min="783" max="783" width="0" style="1" hidden="1" customWidth="1"/>
    <col min="784" max="784" width="3" style="1" bestFit="1" customWidth="1"/>
    <col min="785" max="785" width="23.140625" style="1" customWidth="1"/>
    <col min="786" max="786" width="7.5703125" style="1" customWidth="1"/>
    <col min="787" max="788" width="3.140625" style="1" customWidth="1"/>
    <col min="789" max="789" width="22.7109375" style="1" customWidth="1"/>
    <col min="790" max="790" width="8.140625" style="1" customWidth="1"/>
    <col min="791" max="791" width="3.5703125" style="1" customWidth="1"/>
    <col min="792" max="1024" width="11.42578125" style="1"/>
    <col min="1025" max="1025" width="1.28515625" style="1" customWidth="1"/>
    <col min="1026" max="1026" width="26.42578125" style="1" customWidth="1"/>
    <col min="1027" max="1027" width="0" style="1" hidden="1" customWidth="1"/>
    <col min="1028" max="1028" width="7.28515625" style="1" customWidth="1"/>
    <col min="1029" max="1029" width="3.140625" style="1" customWidth="1"/>
    <col min="1030" max="1030" width="3.42578125" style="1" customWidth="1"/>
    <col min="1031" max="1031" width="24.28515625" style="1" customWidth="1"/>
    <col min="1032" max="1032" width="7.7109375" style="1" customWidth="1"/>
    <col min="1033" max="1033" width="3.85546875" style="1" customWidth="1"/>
    <col min="1034" max="1034" width="3" style="1" customWidth="1"/>
    <col min="1035" max="1035" width="24" style="1" customWidth="1"/>
    <col min="1036" max="1036" width="6.42578125" style="1" customWidth="1"/>
    <col min="1037" max="1038" width="3" style="1" customWidth="1"/>
    <col min="1039" max="1039" width="0" style="1" hidden="1" customWidth="1"/>
    <col min="1040" max="1040" width="3" style="1" bestFit="1" customWidth="1"/>
    <col min="1041" max="1041" width="23.140625" style="1" customWidth="1"/>
    <col min="1042" max="1042" width="7.5703125" style="1" customWidth="1"/>
    <col min="1043" max="1044" width="3.140625" style="1" customWidth="1"/>
    <col min="1045" max="1045" width="22.7109375" style="1" customWidth="1"/>
    <col min="1046" max="1046" width="8.140625" style="1" customWidth="1"/>
    <col min="1047" max="1047" width="3.5703125" style="1" customWidth="1"/>
    <col min="1048" max="1280" width="11.42578125" style="1"/>
    <col min="1281" max="1281" width="1.28515625" style="1" customWidth="1"/>
    <col min="1282" max="1282" width="26.42578125" style="1" customWidth="1"/>
    <col min="1283" max="1283" width="0" style="1" hidden="1" customWidth="1"/>
    <col min="1284" max="1284" width="7.28515625" style="1" customWidth="1"/>
    <col min="1285" max="1285" width="3.140625" style="1" customWidth="1"/>
    <col min="1286" max="1286" width="3.42578125" style="1" customWidth="1"/>
    <col min="1287" max="1287" width="24.28515625" style="1" customWidth="1"/>
    <col min="1288" max="1288" width="7.7109375" style="1" customWidth="1"/>
    <col min="1289" max="1289" width="3.85546875" style="1" customWidth="1"/>
    <col min="1290" max="1290" width="3" style="1" customWidth="1"/>
    <col min="1291" max="1291" width="24" style="1" customWidth="1"/>
    <col min="1292" max="1292" width="6.42578125" style="1" customWidth="1"/>
    <col min="1293" max="1294" width="3" style="1" customWidth="1"/>
    <col min="1295" max="1295" width="0" style="1" hidden="1" customWidth="1"/>
    <col min="1296" max="1296" width="3" style="1" bestFit="1" customWidth="1"/>
    <col min="1297" max="1297" width="23.140625" style="1" customWidth="1"/>
    <col min="1298" max="1298" width="7.5703125" style="1" customWidth="1"/>
    <col min="1299" max="1300" width="3.140625" style="1" customWidth="1"/>
    <col min="1301" max="1301" width="22.7109375" style="1" customWidth="1"/>
    <col min="1302" max="1302" width="8.140625" style="1" customWidth="1"/>
    <col min="1303" max="1303" width="3.5703125" style="1" customWidth="1"/>
    <col min="1304" max="1536" width="11.42578125" style="1"/>
    <col min="1537" max="1537" width="1.28515625" style="1" customWidth="1"/>
    <col min="1538" max="1538" width="26.42578125" style="1" customWidth="1"/>
    <col min="1539" max="1539" width="0" style="1" hidden="1" customWidth="1"/>
    <col min="1540" max="1540" width="7.28515625" style="1" customWidth="1"/>
    <col min="1541" max="1541" width="3.140625" style="1" customWidth="1"/>
    <col min="1542" max="1542" width="3.42578125" style="1" customWidth="1"/>
    <col min="1543" max="1543" width="24.28515625" style="1" customWidth="1"/>
    <col min="1544" max="1544" width="7.7109375" style="1" customWidth="1"/>
    <col min="1545" max="1545" width="3.85546875" style="1" customWidth="1"/>
    <col min="1546" max="1546" width="3" style="1" customWidth="1"/>
    <col min="1547" max="1547" width="24" style="1" customWidth="1"/>
    <col min="1548" max="1548" width="6.42578125" style="1" customWidth="1"/>
    <col min="1549" max="1550" width="3" style="1" customWidth="1"/>
    <col min="1551" max="1551" width="0" style="1" hidden="1" customWidth="1"/>
    <col min="1552" max="1552" width="3" style="1" bestFit="1" customWidth="1"/>
    <col min="1553" max="1553" width="23.140625" style="1" customWidth="1"/>
    <col min="1554" max="1554" width="7.5703125" style="1" customWidth="1"/>
    <col min="1555" max="1556" width="3.140625" style="1" customWidth="1"/>
    <col min="1557" max="1557" width="22.7109375" style="1" customWidth="1"/>
    <col min="1558" max="1558" width="8.140625" style="1" customWidth="1"/>
    <col min="1559" max="1559" width="3.5703125" style="1" customWidth="1"/>
    <col min="1560" max="1792" width="11.42578125" style="1"/>
    <col min="1793" max="1793" width="1.28515625" style="1" customWidth="1"/>
    <col min="1794" max="1794" width="26.42578125" style="1" customWidth="1"/>
    <col min="1795" max="1795" width="0" style="1" hidden="1" customWidth="1"/>
    <col min="1796" max="1796" width="7.28515625" style="1" customWidth="1"/>
    <col min="1797" max="1797" width="3.140625" style="1" customWidth="1"/>
    <col min="1798" max="1798" width="3.42578125" style="1" customWidth="1"/>
    <col min="1799" max="1799" width="24.28515625" style="1" customWidth="1"/>
    <col min="1800" max="1800" width="7.7109375" style="1" customWidth="1"/>
    <col min="1801" max="1801" width="3.85546875" style="1" customWidth="1"/>
    <col min="1802" max="1802" width="3" style="1" customWidth="1"/>
    <col min="1803" max="1803" width="24" style="1" customWidth="1"/>
    <col min="1804" max="1804" width="6.42578125" style="1" customWidth="1"/>
    <col min="1805" max="1806" width="3" style="1" customWidth="1"/>
    <col min="1807" max="1807" width="0" style="1" hidden="1" customWidth="1"/>
    <col min="1808" max="1808" width="3" style="1" bestFit="1" customWidth="1"/>
    <col min="1809" max="1809" width="23.140625" style="1" customWidth="1"/>
    <col min="1810" max="1810" width="7.5703125" style="1" customWidth="1"/>
    <col min="1811" max="1812" width="3.140625" style="1" customWidth="1"/>
    <col min="1813" max="1813" width="22.7109375" style="1" customWidth="1"/>
    <col min="1814" max="1814" width="8.140625" style="1" customWidth="1"/>
    <col min="1815" max="1815" width="3.5703125" style="1" customWidth="1"/>
    <col min="1816" max="2048" width="11.42578125" style="1"/>
    <col min="2049" max="2049" width="1.28515625" style="1" customWidth="1"/>
    <col min="2050" max="2050" width="26.42578125" style="1" customWidth="1"/>
    <col min="2051" max="2051" width="0" style="1" hidden="1" customWidth="1"/>
    <col min="2052" max="2052" width="7.28515625" style="1" customWidth="1"/>
    <col min="2053" max="2053" width="3.140625" style="1" customWidth="1"/>
    <col min="2054" max="2054" width="3.42578125" style="1" customWidth="1"/>
    <col min="2055" max="2055" width="24.28515625" style="1" customWidth="1"/>
    <col min="2056" max="2056" width="7.7109375" style="1" customWidth="1"/>
    <col min="2057" max="2057" width="3.85546875" style="1" customWidth="1"/>
    <col min="2058" max="2058" width="3" style="1" customWidth="1"/>
    <col min="2059" max="2059" width="24" style="1" customWidth="1"/>
    <col min="2060" max="2060" width="6.42578125" style="1" customWidth="1"/>
    <col min="2061" max="2062" width="3" style="1" customWidth="1"/>
    <col min="2063" max="2063" width="0" style="1" hidden="1" customWidth="1"/>
    <col min="2064" max="2064" width="3" style="1" bestFit="1" customWidth="1"/>
    <col min="2065" max="2065" width="23.140625" style="1" customWidth="1"/>
    <col min="2066" max="2066" width="7.5703125" style="1" customWidth="1"/>
    <col min="2067" max="2068" width="3.140625" style="1" customWidth="1"/>
    <col min="2069" max="2069" width="22.7109375" style="1" customWidth="1"/>
    <col min="2070" max="2070" width="8.140625" style="1" customWidth="1"/>
    <col min="2071" max="2071" width="3.5703125" style="1" customWidth="1"/>
    <col min="2072" max="2304" width="11.42578125" style="1"/>
    <col min="2305" max="2305" width="1.28515625" style="1" customWidth="1"/>
    <col min="2306" max="2306" width="26.42578125" style="1" customWidth="1"/>
    <col min="2307" max="2307" width="0" style="1" hidden="1" customWidth="1"/>
    <col min="2308" max="2308" width="7.28515625" style="1" customWidth="1"/>
    <col min="2309" max="2309" width="3.140625" style="1" customWidth="1"/>
    <col min="2310" max="2310" width="3.42578125" style="1" customWidth="1"/>
    <col min="2311" max="2311" width="24.28515625" style="1" customWidth="1"/>
    <col min="2312" max="2312" width="7.7109375" style="1" customWidth="1"/>
    <col min="2313" max="2313" width="3.85546875" style="1" customWidth="1"/>
    <col min="2314" max="2314" width="3" style="1" customWidth="1"/>
    <col min="2315" max="2315" width="24" style="1" customWidth="1"/>
    <col min="2316" max="2316" width="6.42578125" style="1" customWidth="1"/>
    <col min="2317" max="2318" width="3" style="1" customWidth="1"/>
    <col min="2319" max="2319" width="0" style="1" hidden="1" customWidth="1"/>
    <col min="2320" max="2320" width="3" style="1" bestFit="1" customWidth="1"/>
    <col min="2321" max="2321" width="23.140625" style="1" customWidth="1"/>
    <col min="2322" max="2322" width="7.5703125" style="1" customWidth="1"/>
    <col min="2323" max="2324" width="3.140625" style="1" customWidth="1"/>
    <col min="2325" max="2325" width="22.7109375" style="1" customWidth="1"/>
    <col min="2326" max="2326" width="8.140625" style="1" customWidth="1"/>
    <col min="2327" max="2327" width="3.5703125" style="1" customWidth="1"/>
    <col min="2328" max="2560" width="11.42578125" style="1"/>
    <col min="2561" max="2561" width="1.28515625" style="1" customWidth="1"/>
    <col min="2562" max="2562" width="26.42578125" style="1" customWidth="1"/>
    <col min="2563" max="2563" width="0" style="1" hidden="1" customWidth="1"/>
    <col min="2564" max="2564" width="7.28515625" style="1" customWidth="1"/>
    <col min="2565" max="2565" width="3.140625" style="1" customWidth="1"/>
    <col min="2566" max="2566" width="3.42578125" style="1" customWidth="1"/>
    <col min="2567" max="2567" width="24.28515625" style="1" customWidth="1"/>
    <col min="2568" max="2568" width="7.7109375" style="1" customWidth="1"/>
    <col min="2569" max="2569" width="3.85546875" style="1" customWidth="1"/>
    <col min="2570" max="2570" width="3" style="1" customWidth="1"/>
    <col min="2571" max="2571" width="24" style="1" customWidth="1"/>
    <col min="2572" max="2572" width="6.42578125" style="1" customWidth="1"/>
    <col min="2573" max="2574" width="3" style="1" customWidth="1"/>
    <col min="2575" max="2575" width="0" style="1" hidden="1" customWidth="1"/>
    <col min="2576" max="2576" width="3" style="1" bestFit="1" customWidth="1"/>
    <col min="2577" max="2577" width="23.140625" style="1" customWidth="1"/>
    <col min="2578" max="2578" width="7.5703125" style="1" customWidth="1"/>
    <col min="2579" max="2580" width="3.140625" style="1" customWidth="1"/>
    <col min="2581" max="2581" width="22.7109375" style="1" customWidth="1"/>
    <col min="2582" max="2582" width="8.140625" style="1" customWidth="1"/>
    <col min="2583" max="2583" width="3.5703125" style="1" customWidth="1"/>
    <col min="2584" max="2816" width="11.42578125" style="1"/>
    <col min="2817" max="2817" width="1.28515625" style="1" customWidth="1"/>
    <col min="2818" max="2818" width="26.42578125" style="1" customWidth="1"/>
    <col min="2819" max="2819" width="0" style="1" hidden="1" customWidth="1"/>
    <col min="2820" max="2820" width="7.28515625" style="1" customWidth="1"/>
    <col min="2821" max="2821" width="3.140625" style="1" customWidth="1"/>
    <col min="2822" max="2822" width="3.42578125" style="1" customWidth="1"/>
    <col min="2823" max="2823" width="24.28515625" style="1" customWidth="1"/>
    <col min="2824" max="2824" width="7.7109375" style="1" customWidth="1"/>
    <col min="2825" max="2825" width="3.85546875" style="1" customWidth="1"/>
    <col min="2826" max="2826" width="3" style="1" customWidth="1"/>
    <col min="2827" max="2827" width="24" style="1" customWidth="1"/>
    <col min="2828" max="2828" width="6.42578125" style="1" customWidth="1"/>
    <col min="2829" max="2830" width="3" style="1" customWidth="1"/>
    <col min="2831" max="2831" width="0" style="1" hidden="1" customWidth="1"/>
    <col min="2832" max="2832" width="3" style="1" bestFit="1" customWidth="1"/>
    <col min="2833" max="2833" width="23.140625" style="1" customWidth="1"/>
    <col min="2834" max="2834" width="7.5703125" style="1" customWidth="1"/>
    <col min="2835" max="2836" width="3.140625" style="1" customWidth="1"/>
    <col min="2837" max="2837" width="22.7109375" style="1" customWidth="1"/>
    <col min="2838" max="2838" width="8.140625" style="1" customWidth="1"/>
    <col min="2839" max="2839" width="3.5703125" style="1" customWidth="1"/>
    <col min="2840" max="3072" width="11.42578125" style="1"/>
    <col min="3073" max="3073" width="1.28515625" style="1" customWidth="1"/>
    <col min="3074" max="3074" width="26.42578125" style="1" customWidth="1"/>
    <col min="3075" max="3075" width="0" style="1" hidden="1" customWidth="1"/>
    <col min="3076" max="3076" width="7.28515625" style="1" customWidth="1"/>
    <col min="3077" max="3077" width="3.140625" style="1" customWidth="1"/>
    <col min="3078" max="3078" width="3.42578125" style="1" customWidth="1"/>
    <col min="3079" max="3079" width="24.28515625" style="1" customWidth="1"/>
    <col min="3080" max="3080" width="7.7109375" style="1" customWidth="1"/>
    <col min="3081" max="3081" width="3.85546875" style="1" customWidth="1"/>
    <col min="3082" max="3082" width="3" style="1" customWidth="1"/>
    <col min="3083" max="3083" width="24" style="1" customWidth="1"/>
    <col min="3084" max="3084" width="6.42578125" style="1" customWidth="1"/>
    <col min="3085" max="3086" width="3" style="1" customWidth="1"/>
    <col min="3087" max="3087" width="0" style="1" hidden="1" customWidth="1"/>
    <col min="3088" max="3088" width="3" style="1" bestFit="1" customWidth="1"/>
    <col min="3089" max="3089" width="23.140625" style="1" customWidth="1"/>
    <col min="3090" max="3090" width="7.5703125" style="1" customWidth="1"/>
    <col min="3091" max="3092" width="3.140625" style="1" customWidth="1"/>
    <col min="3093" max="3093" width="22.7109375" style="1" customWidth="1"/>
    <col min="3094" max="3094" width="8.140625" style="1" customWidth="1"/>
    <col min="3095" max="3095" width="3.5703125" style="1" customWidth="1"/>
    <col min="3096" max="3328" width="11.42578125" style="1"/>
    <col min="3329" max="3329" width="1.28515625" style="1" customWidth="1"/>
    <col min="3330" max="3330" width="26.42578125" style="1" customWidth="1"/>
    <col min="3331" max="3331" width="0" style="1" hidden="1" customWidth="1"/>
    <col min="3332" max="3332" width="7.28515625" style="1" customWidth="1"/>
    <col min="3333" max="3333" width="3.140625" style="1" customWidth="1"/>
    <col min="3334" max="3334" width="3.42578125" style="1" customWidth="1"/>
    <col min="3335" max="3335" width="24.28515625" style="1" customWidth="1"/>
    <col min="3336" max="3336" width="7.7109375" style="1" customWidth="1"/>
    <col min="3337" max="3337" width="3.85546875" style="1" customWidth="1"/>
    <col min="3338" max="3338" width="3" style="1" customWidth="1"/>
    <col min="3339" max="3339" width="24" style="1" customWidth="1"/>
    <col min="3340" max="3340" width="6.42578125" style="1" customWidth="1"/>
    <col min="3341" max="3342" width="3" style="1" customWidth="1"/>
    <col min="3343" max="3343" width="0" style="1" hidden="1" customWidth="1"/>
    <col min="3344" max="3344" width="3" style="1" bestFit="1" customWidth="1"/>
    <col min="3345" max="3345" width="23.140625" style="1" customWidth="1"/>
    <col min="3346" max="3346" width="7.5703125" style="1" customWidth="1"/>
    <col min="3347" max="3348" width="3.140625" style="1" customWidth="1"/>
    <col min="3349" max="3349" width="22.7109375" style="1" customWidth="1"/>
    <col min="3350" max="3350" width="8.140625" style="1" customWidth="1"/>
    <col min="3351" max="3351" width="3.5703125" style="1" customWidth="1"/>
    <col min="3352" max="3584" width="11.42578125" style="1"/>
    <col min="3585" max="3585" width="1.28515625" style="1" customWidth="1"/>
    <col min="3586" max="3586" width="26.42578125" style="1" customWidth="1"/>
    <col min="3587" max="3587" width="0" style="1" hidden="1" customWidth="1"/>
    <col min="3588" max="3588" width="7.28515625" style="1" customWidth="1"/>
    <col min="3589" max="3589" width="3.140625" style="1" customWidth="1"/>
    <col min="3590" max="3590" width="3.42578125" style="1" customWidth="1"/>
    <col min="3591" max="3591" width="24.28515625" style="1" customWidth="1"/>
    <col min="3592" max="3592" width="7.7109375" style="1" customWidth="1"/>
    <col min="3593" max="3593" width="3.85546875" style="1" customWidth="1"/>
    <col min="3594" max="3594" width="3" style="1" customWidth="1"/>
    <col min="3595" max="3595" width="24" style="1" customWidth="1"/>
    <col min="3596" max="3596" width="6.42578125" style="1" customWidth="1"/>
    <col min="3597" max="3598" width="3" style="1" customWidth="1"/>
    <col min="3599" max="3599" width="0" style="1" hidden="1" customWidth="1"/>
    <col min="3600" max="3600" width="3" style="1" bestFit="1" customWidth="1"/>
    <col min="3601" max="3601" width="23.140625" style="1" customWidth="1"/>
    <col min="3602" max="3602" width="7.5703125" style="1" customWidth="1"/>
    <col min="3603" max="3604" width="3.140625" style="1" customWidth="1"/>
    <col min="3605" max="3605" width="22.7109375" style="1" customWidth="1"/>
    <col min="3606" max="3606" width="8.140625" style="1" customWidth="1"/>
    <col min="3607" max="3607" width="3.5703125" style="1" customWidth="1"/>
    <col min="3608" max="3840" width="11.42578125" style="1"/>
    <col min="3841" max="3841" width="1.28515625" style="1" customWidth="1"/>
    <col min="3842" max="3842" width="26.42578125" style="1" customWidth="1"/>
    <col min="3843" max="3843" width="0" style="1" hidden="1" customWidth="1"/>
    <col min="3844" max="3844" width="7.28515625" style="1" customWidth="1"/>
    <col min="3845" max="3845" width="3.140625" style="1" customWidth="1"/>
    <col min="3846" max="3846" width="3.42578125" style="1" customWidth="1"/>
    <col min="3847" max="3847" width="24.28515625" style="1" customWidth="1"/>
    <col min="3848" max="3848" width="7.7109375" style="1" customWidth="1"/>
    <col min="3849" max="3849" width="3.85546875" style="1" customWidth="1"/>
    <col min="3850" max="3850" width="3" style="1" customWidth="1"/>
    <col min="3851" max="3851" width="24" style="1" customWidth="1"/>
    <col min="3852" max="3852" width="6.42578125" style="1" customWidth="1"/>
    <col min="3853" max="3854" width="3" style="1" customWidth="1"/>
    <col min="3855" max="3855" width="0" style="1" hidden="1" customWidth="1"/>
    <col min="3856" max="3856" width="3" style="1" bestFit="1" customWidth="1"/>
    <col min="3857" max="3857" width="23.140625" style="1" customWidth="1"/>
    <col min="3858" max="3858" width="7.5703125" style="1" customWidth="1"/>
    <col min="3859" max="3860" width="3.140625" style="1" customWidth="1"/>
    <col min="3861" max="3861" width="22.7109375" style="1" customWidth="1"/>
    <col min="3862" max="3862" width="8.140625" style="1" customWidth="1"/>
    <col min="3863" max="3863" width="3.5703125" style="1" customWidth="1"/>
    <col min="3864" max="4096" width="11.42578125" style="1"/>
    <col min="4097" max="4097" width="1.28515625" style="1" customWidth="1"/>
    <col min="4098" max="4098" width="26.42578125" style="1" customWidth="1"/>
    <col min="4099" max="4099" width="0" style="1" hidden="1" customWidth="1"/>
    <col min="4100" max="4100" width="7.28515625" style="1" customWidth="1"/>
    <col min="4101" max="4101" width="3.140625" style="1" customWidth="1"/>
    <col min="4102" max="4102" width="3.42578125" style="1" customWidth="1"/>
    <col min="4103" max="4103" width="24.28515625" style="1" customWidth="1"/>
    <col min="4104" max="4104" width="7.7109375" style="1" customWidth="1"/>
    <col min="4105" max="4105" width="3.85546875" style="1" customWidth="1"/>
    <col min="4106" max="4106" width="3" style="1" customWidth="1"/>
    <col min="4107" max="4107" width="24" style="1" customWidth="1"/>
    <col min="4108" max="4108" width="6.42578125" style="1" customWidth="1"/>
    <col min="4109" max="4110" width="3" style="1" customWidth="1"/>
    <col min="4111" max="4111" width="0" style="1" hidden="1" customWidth="1"/>
    <col min="4112" max="4112" width="3" style="1" bestFit="1" customWidth="1"/>
    <col min="4113" max="4113" width="23.140625" style="1" customWidth="1"/>
    <col min="4114" max="4114" width="7.5703125" style="1" customWidth="1"/>
    <col min="4115" max="4116" width="3.140625" style="1" customWidth="1"/>
    <col min="4117" max="4117" width="22.7109375" style="1" customWidth="1"/>
    <col min="4118" max="4118" width="8.140625" style="1" customWidth="1"/>
    <col min="4119" max="4119" width="3.5703125" style="1" customWidth="1"/>
    <col min="4120" max="4352" width="11.42578125" style="1"/>
    <col min="4353" max="4353" width="1.28515625" style="1" customWidth="1"/>
    <col min="4354" max="4354" width="26.42578125" style="1" customWidth="1"/>
    <col min="4355" max="4355" width="0" style="1" hidden="1" customWidth="1"/>
    <col min="4356" max="4356" width="7.28515625" style="1" customWidth="1"/>
    <col min="4357" max="4357" width="3.140625" style="1" customWidth="1"/>
    <col min="4358" max="4358" width="3.42578125" style="1" customWidth="1"/>
    <col min="4359" max="4359" width="24.28515625" style="1" customWidth="1"/>
    <col min="4360" max="4360" width="7.7109375" style="1" customWidth="1"/>
    <col min="4361" max="4361" width="3.85546875" style="1" customWidth="1"/>
    <col min="4362" max="4362" width="3" style="1" customWidth="1"/>
    <col min="4363" max="4363" width="24" style="1" customWidth="1"/>
    <col min="4364" max="4364" width="6.42578125" style="1" customWidth="1"/>
    <col min="4365" max="4366" width="3" style="1" customWidth="1"/>
    <col min="4367" max="4367" width="0" style="1" hidden="1" customWidth="1"/>
    <col min="4368" max="4368" width="3" style="1" bestFit="1" customWidth="1"/>
    <col min="4369" max="4369" width="23.140625" style="1" customWidth="1"/>
    <col min="4370" max="4370" width="7.5703125" style="1" customWidth="1"/>
    <col min="4371" max="4372" width="3.140625" style="1" customWidth="1"/>
    <col min="4373" max="4373" width="22.7109375" style="1" customWidth="1"/>
    <col min="4374" max="4374" width="8.140625" style="1" customWidth="1"/>
    <col min="4375" max="4375" width="3.5703125" style="1" customWidth="1"/>
    <col min="4376" max="4608" width="11.42578125" style="1"/>
    <col min="4609" max="4609" width="1.28515625" style="1" customWidth="1"/>
    <col min="4610" max="4610" width="26.42578125" style="1" customWidth="1"/>
    <col min="4611" max="4611" width="0" style="1" hidden="1" customWidth="1"/>
    <col min="4612" max="4612" width="7.28515625" style="1" customWidth="1"/>
    <col min="4613" max="4613" width="3.140625" style="1" customWidth="1"/>
    <col min="4614" max="4614" width="3.42578125" style="1" customWidth="1"/>
    <col min="4615" max="4615" width="24.28515625" style="1" customWidth="1"/>
    <col min="4616" max="4616" width="7.7109375" style="1" customWidth="1"/>
    <col min="4617" max="4617" width="3.85546875" style="1" customWidth="1"/>
    <col min="4618" max="4618" width="3" style="1" customWidth="1"/>
    <col min="4619" max="4619" width="24" style="1" customWidth="1"/>
    <col min="4620" max="4620" width="6.42578125" style="1" customWidth="1"/>
    <col min="4621" max="4622" width="3" style="1" customWidth="1"/>
    <col min="4623" max="4623" width="0" style="1" hidden="1" customWidth="1"/>
    <col min="4624" max="4624" width="3" style="1" bestFit="1" customWidth="1"/>
    <col min="4625" max="4625" width="23.140625" style="1" customWidth="1"/>
    <col min="4626" max="4626" width="7.5703125" style="1" customWidth="1"/>
    <col min="4627" max="4628" width="3.140625" style="1" customWidth="1"/>
    <col min="4629" max="4629" width="22.7109375" style="1" customWidth="1"/>
    <col min="4630" max="4630" width="8.140625" style="1" customWidth="1"/>
    <col min="4631" max="4631" width="3.5703125" style="1" customWidth="1"/>
    <col min="4632" max="4864" width="11.42578125" style="1"/>
    <col min="4865" max="4865" width="1.28515625" style="1" customWidth="1"/>
    <col min="4866" max="4866" width="26.42578125" style="1" customWidth="1"/>
    <col min="4867" max="4867" width="0" style="1" hidden="1" customWidth="1"/>
    <col min="4868" max="4868" width="7.28515625" style="1" customWidth="1"/>
    <col min="4869" max="4869" width="3.140625" style="1" customWidth="1"/>
    <col min="4870" max="4870" width="3.42578125" style="1" customWidth="1"/>
    <col min="4871" max="4871" width="24.28515625" style="1" customWidth="1"/>
    <col min="4872" max="4872" width="7.7109375" style="1" customWidth="1"/>
    <col min="4873" max="4873" width="3.85546875" style="1" customWidth="1"/>
    <col min="4874" max="4874" width="3" style="1" customWidth="1"/>
    <col min="4875" max="4875" width="24" style="1" customWidth="1"/>
    <col min="4876" max="4876" width="6.42578125" style="1" customWidth="1"/>
    <col min="4877" max="4878" width="3" style="1" customWidth="1"/>
    <col min="4879" max="4879" width="0" style="1" hidden="1" customWidth="1"/>
    <col min="4880" max="4880" width="3" style="1" bestFit="1" customWidth="1"/>
    <col min="4881" max="4881" width="23.140625" style="1" customWidth="1"/>
    <col min="4882" max="4882" width="7.5703125" style="1" customWidth="1"/>
    <col min="4883" max="4884" width="3.140625" style="1" customWidth="1"/>
    <col min="4885" max="4885" width="22.7109375" style="1" customWidth="1"/>
    <col min="4886" max="4886" width="8.140625" style="1" customWidth="1"/>
    <col min="4887" max="4887" width="3.5703125" style="1" customWidth="1"/>
    <col min="4888" max="5120" width="11.42578125" style="1"/>
    <col min="5121" max="5121" width="1.28515625" style="1" customWidth="1"/>
    <col min="5122" max="5122" width="26.42578125" style="1" customWidth="1"/>
    <col min="5123" max="5123" width="0" style="1" hidden="1" customWidth="1"/>
    <col min="5124" max="5124" width="7.28515625" style="1" customWidth="1"/>
    <col min="5125" max="5125" width="3.140625" style="1" customWidth="1"/>
    <col min="5126" max="5126" width="3.42578125" style="1" customWidth="1"/>
    <col min="5127" max="5127" width="24.28515625" style="1" customWidth="1"/>
    <col min="5128" max="5128" width="7.7109375" style="1" customWidth="1"/>
    <col min="5129" max="5129" width="3.85546875" style="1" customWidth="1"/>
    <col min="5130" max="5130" width="3" style="1" customWidth="1"/>
    <col min="5131" max="5131" width="24" style="1" customWidth="1"/>
    <col min="5132" max="5132" width="6.42578125" style="1" customWidth="1"/>
    <col min="5133" max="5134" width="3" style="1" customWidth="1"/>
    <col min="5135" max="5135" width="0" style="1" hidden="1" customWidth="1"/>
    <col min="5136" max="5136" width="3" style="1" bestFit="1" customWidth="1"/>
    <col min="5137" max="5137" width="23.140625" style="1" customWidth="1"/>
    <col min="5138" max="5138" width="7.5703125" style="1" customWidth="1"/>
    <col min="5139" max="5140" width="3.140625" style="1" customWidth="1"/>
    <col min="5141" max="5141" width="22.7109375" style="1" customWidth="1"/>
    <col min="5142" max="5142" width="8.140625" style="1" customWidth="1"/>
    <col min="5143" max="5143" width="3.5703125" style="1" customWidth="1"/>
    <col min="5144" max="5376" width="11.42578125" style="1"/>
    <col min="5377" max="5377" width="1.28515625" style="1" customWidth="1"/>
    <col min="5378" max="5378" width="26.42578125" style="1" customWidth="1"/>
    <col min="5379" max="5379" width="0" style="1" hidden="1" customWidth="1"/>
    <col min="5380" max="5380" width="7.28515625" style="1" customWidth="1"/>
    <col min="5381" max="5381" width="3.140625" style="1" customWidth="1"/>
    <col min="5382" max="5382" width="3.42578125" style="1" customWidth="1"/>
    <col min="5383" max="5383" width="24.28515625" style="1" customWidth="1"/>
    <col min="5384" max="5384" width="7.7109375" style="1" customWidth="1"/>
    <col min="5385" max="5385" width="3.85546875" style="1" customWidth="1"/>
    <col min="5386" max="5386" width="3" style="1" customWidth="1"/>
    <col min="5387" max="5387" width="24" style="1" customWidth="1"/>
    <col min="5388" max="5388" width="6.42578125" style="1" customWidth="1"/>
    <col min="5389" max="5390" width="3" style="1" customWidth="1"/>
    <col min="5391" max="5391" width="0" style="1" hidden="1" customWidth="1"/>
    <col min="5392" max="5392" width="3" style="1" bestFit="1" customWidth="1"/>
    <col min="5393" max="5393" width="23.140625" style="1" customWidth="1"/>
    <col min="5394" max="5394" width="7.5703125" style="1" customWidth="1"/>
    <col min="5395" max="5396" width="3.140625" style="1" customWidth="1"/>
    <col min="5397" max="5397" width="22.7109375" style="1" customWidth="1"/>
    <col min="5398" max="5398" width="8.140625" style="1" customWidth="1"/>
    <col min="5399" max="5399" width="3.5703125" style="1" customWidth="1"/>
    <col min="5400" max="5632" width="11.42578125" style="1"/>
    <col min="5633" max="5633" width="1.28515625" style="1" customWidth="1"/>
    <col min="5634" max="5634" width="26.42578125" style="1" customWidth="1"/>
    <col min="5635" max="5635" width="0" style="1" hidden="1" customWidth="1"/>
    <col min="5636" max="5636" width="7.28515625" style="1" customWidth="1"/>
    <col min="5637" max="5637" width="3.140625" style="1" customWidth="1"/>
    <col min="5638" max="5638" width="3.42578125" style="1" customWidth="1"/>
    <col min="5639" max="5639" width="24.28515625" style="1" customWidth="1"/>
    <col min="5640" max="5640" width="7.7109375" style="1" customWidth="1"/>
    <col min="5641" max="5641" width="3.85546875" style="1" customWidth="1"/>
    <col min="5642" max="5642" width="3" style="1" customWidth="1"/>
    <col min="5643" max="5643" width="24" style="1" customWidth="1"/>
    <col min="5644" max="5644" width="6.42578125" style="1" customWidth="1"/>
    <col min="5645" max="5646" width="3" style="1" customWidth="1"/>
    <col min="5647" max="5647" width="0" style="1" hidden="1" customWidth="1"/>
    <col min="5648" max="5648" width="3" style="1" bestFit="1" customWidth="1"/>
    <col min="5649" max="5649" width="23.140625" style="1" customWidth="1"/>
    <col min="5650" max="5650" width="7.5703125" style="1" customWidth="1"/>
    <col min="5651" max="5652" width="3.140625" style="1" customWidth="1"/>
    <col min="5653" max="5653" width="22.7109375" style="1" customWidth="1"/>
    <col min="5654" max="5654" width="8.140625" style="1" customWidth="1"/>
    <col min="5655" max="5655" width="3.5703125" style="1" customWidth="1"/>
    <col min="5656" max="5888" width="11.42578125" style="1"/>
    <col min="5889" max="5889" width="1.28515625" style="1" customWidth="1"/>
    <col min="5890" max="5890" width="26.42578125" style="1" customWidth="1"/>
    <col min="5891" max="5891" width="0" style="1" hidden="1" customWidth="1"/>
    <col min="5892" max="5892" width="7.28515625" style="1" customWidth="1"/>
    <col min="5893" max="5893" width="3.140625" style="1" customWidth="1"/>
    <col min="5894" max="5894" width="3.42578125" style="1" customWidth="1"/>
    <col min="5895" max="5895" width="24.28515625" style="1" customWidth="1"/>
    <col min="5896" max="5896" width="7.7109375" style="1" customWidth="1"/>
    <col min="5897" max="5897" width="3.85546875" style="1" customWidth="1"/>
    <col min="5898" max="5898" width="3" style="1" customWidth="1"/>
    <col min="5899" max="5899" width="24" style="1" customWidth="1"/>
    <col min="5900" max="5900" width="6.42578125" style="1" customWidth="1"/>
    <col min="5901" max="5902" width="3" style="1" customWidth="1"/>
    <col min="5903" max="5903" width="0" style="1" hidden="1" customWidth="1"/>
    <col min="5904" max="5904" width="3" style="1" bestFit="1" customWidth="1"/>
    <col min="5905" max="5905" width="23.140625" style="1" customWidth="1"/>
    <col min="5906" max="5906" width="7.5703125" style="1" customWidth="1"/>
    <col min="5907" max="5908" width="3.140625" style="1" customWidth="1"/>
    <col min="5909" max="5909" width="22.7109375" style="1" customWidth="1"/>
    <col min="5910" max="5910" width="8.140625" style="1" customWidth="1"/>
    <col min="5911" max="5911" width="3.5703125" style="1" customWidth="1"/>
    <col min="5912" max="6144" width="11.42578125" style="1"/>
    <col min="6145" max="6145" width="1.28515625" style="1" customWidth="1"/>
    <col min="6146" max="6146" width="26.42578125" style="1" customWidth="1"/>
    <col min="6147" max="6147" width="0" style="1" hidden="1" customWidth="1"/>
    <col min="6148" max="6148" width="7.28515625" style="1" customWidth="1"/>
    <col min="6149" max="6149" width="3.140625" style="1" customWidth="1"/>
    <col min="6150" max="6150" width="3.42578125" style="1" customWidth="1"/>
    <col min="6151" max="6151" width="24.28515625" style="1" customWidth="1"/>
    <col min="6152" max="6152" width="7.7109375" style="1" customWidth="1"/>
    <col min="6153" max="6153" width="3.85546875" style="1" customWidth="1"/>
    <col min="6154" max="6154" width="3" style="1" customWidth="1"/>
    <col min="6155" max="6155" width="24" style="1" customWidth="1"/>
    <col min="6156" max="6156" width="6.42578125" style="1" customWidth="1"/>
    <col min="6157" max="6158" width="3" style="1" customWidth="1"/>
    <col min="6159" max="6159" width="0" style="1" hidden="1" customWidth="1"/>
    <col min="6160" max="6160" width="3" style="1" bestFit="1" customWidth="1"/>
    <col min="6161" max="6161" width="23.140625" style="1" customWidth="1"/>
    <col min="6162" max="6162" width="7.5703125" style="1" customWidth="1"/>
    <col min="6163" max="6164" width="3.140625" style="1" customWidth="1"/>
    <col min="6165" max="6165" width="22.7109375" style="1" customWidth="1"/>
    <col min="6166" max="6166" width="8.140625" style="1" customWidth="1"/>
    <col min="6167" max="6167" width="3.5703125" style="1" customWidth="1"/>
    <col min="6168" max="6400" width="11.42578125" style="1"/>
    <col min="6401" max="6401" width="1.28515625" style="1" customWidth="1"/>
    <col min="6402" max="6402" width="26.42578125" style="1" customWidth="1"/>
    <col min="6403" max="6403" width="0" style="1" hidden="1" customWidth="1"/>
    <col min="6404" max="6404" width="7.28515625" style="1" customWidth="1"/>
    <col min="6405" max="6405" width="3.140625" style="1" customWidth="1"/>
    <col min="6406" max="6406" width="3.42578125" style="1" customWidth="1"/>
    <col min="6407" max="6407" width="24.28515625" style="1" customWidth="1"/>
    <col min="6408" max="6408" width="7.7109375" style="1" customWidth="1"/>
    <col min="6409" max="6409" width="3.85546875" style="1" customWidth="1"/>
    <col min="6410" max="6410" width="3" style="1" customWidth="1"/>
    <col min="6411" max="6411" width="24" style="1" customWidth="1"/>
    <col min="6412" max="6412" width="6.42578125" style="1" customWidth="1"/>
    <col min="6413" max="6414" width="3" style="1" customWidth="1"/>
    <col min="6415" max="6415" width="0" style="1" hidden="1" customWidth="1"/>
    <col min="6416" max="6416" width="3" style="1" bestFit="1" customWidth="1"/>
    <col min="6417" max="6417" width="23.140625" style="1" customWidth="1"/>
    <col min="6418" max="6418" width="7.5703125" style="1" customWidth="1"/>
    <col min="6419" max="6420" width="3.140625" style="1" customWidth="1"/>
    <col min="6421" max="6421" width="22.7109375" style="1" customWidth="1"/>
    <col min="6422" max="6422" width="8.140625" style="1" customWidth="1"/>
    <col min="6423" max="6423" width="3.5703125" style="1" customWidth="1"/>
    <col min="6424" max="6656" width="11.42578125" style="1"/>
    <col min="6657" max="6657" width="1.28515625" style="1" customWidth="1"/>
    <col min="6658" max="6658" width="26.42578125" style="1" customWidth="1"/>
    <col min="6659" max="6659" width="0" style="1" hidden="1" customWidth="1"/>
    <col min="6660" max="6660" width="7.28515625" style="1" customWidth="1"/>
    <col min="6661" max="6661" width="3.140625" style="1" customWidth="1"/>
    <col min="6662" max="6662" width="3.42578125" style="1" customWidth="1"/>
    <col min="6663" max="6663" width="24.28515625" style="1" customWidth="1"/>
    <col min="6664" max="6664" width="7.7109375" style="1" customWidth="1"/>
    <col min="6665" max="6665" width="3.85546875" style="1" customWidth="1"/>
    <col min="6666" max="6666" width="3" style="1" customWidth="1"/>
    <col min="6667" max="6667" width="24" style="1" customWidth="1"/>
    <col min="6668" max="6668" width="6.42578125" style="1" customWidth="1"/>
    <col min="6669" max="6670" width="3" style="1" customWidth="1"/>
    <col min="6671" max="6671" width="0" style="1" hidden="1" customWidth="1"/>
    <col min="6672" max="6672" width="3" style="1" bestFit="1" customWidth="1"/>
    <col min="6673" max="6673" width="23.140625" style="1" customWidth="1"/>
    <col min="6674" max="6674" width="7.5703125" style="1" customWidth="1"/>
    <col min="6675" max="6676" width="3.140625" style="1" customWidth="1"/>
    <col min="6677" max="6677" width="22.7109375" style="1" customWidth="1"/>
    <col min="6678" max="6678" width="8.140625" style="1" customWidth="1"/>
    <col min="6679" max="6679" width="3.5703125" style="1" customWidth="1"/>
    <col min="6680" max="6912" width="11.42578125" style="1"/>
    <col min="6913" max="6913" width="1.28515625" style="1" customWidth="1"/>
    <col min="6914" max="6914" width="26.42578125" style="1" customWidth="1"/>
    <col min="6915" max="6915" width="0" style="1" hidden="1" customWidth="1"/>
    <col min="6916" max="6916" width="7.28515625" style="1" customWidth="1"/>
    <col min="6917" max="6917" width="3.140625" style="1" customWidth="1"/>
    <col min="6918" max="6918" width="3.42578125" style="1" customWidth="1"/>
    <col min="6919" max="6919" width="24.28515625" style="1" customWidth="1"/>
    <col min="6920" max="6920" width="7.7109375" style="1" customWidth="1"/>
    <col min="6921" max="6921" width="3.85546875" style="1" customWidth="1"/>
    <col min="6922" max="6922" width="3" style="1" customWidth="1"/>
    <col min="6923" max="6923" width="24" style="1" customWidth="1"/>
    <col min="6924" max="6924" width="6.42578125" style="1" customWidth="1"/>
    <col min="6925" max="6926" width="3" style="1" customWidth="1"/>
    <col min="6927" max="6927" width="0" style="1" hidden="1" customWidth="1"/>
    <col min="6928" max="6928" width="3" style="1" bestFit="1" customWidth="1"/>
    <col min="6929" max="6929" width="23.140625" style="1" customWidth="1"/>
    <col min="6930" max="6930" width="7.5703125" style="1" customWidth="1"/>
    <col min="6931" max="6932" width="3.140625" style="1" customWidth="1"/>
    <col min="6933" max="6933" width="22.7109375" style="1" customWidth="1"/>
    <col min="6934" max="6934" width="8.140625" style="1" customWidth="1"/>
    <col min="6935" max="6935" width="3.5703125" style="1" customWidth="1"/>
    <col min="6936" max="7168" width="11.42578125" style="1"/>
    <col min="7169" max="7169" width="1.28515625" style="1" customWidth="1"/>
    <col min="7170" max="7170" width="26.42578125" style="1" customWidth="1"/>
    <col min="7171" max="7171" width="0" style="1" hidden="1" customWidth="1"/>
    <col min="7172" max="7172" width="7.28515625" style="1" customWidth="1"/>
    <col min="7173" max="7173" width="3.140625" style="1" customWidth="1"/>
    <col min="7174" max="7174" width="3.42578125" style="1" customWidth="1"/>
    <col min="7175" max="7175" width="24.28515625" style="1" customWidth="1"/>
    <col min="7176" max="7176" width="7.7109375" style="1" customWidth="1"/>
    <col min="7177" max="7177" width="3.85546875" style="1" customWidth="1"/>
    <col min="7178" max="7178" width="3" style="1" customWidth="1"/>
    <col min="7179" max="7179" width="24" style="1" customWidth="1"/>
    <col min="7180" max="7180" width="6.42578125" style="1" customWidth="1"/>
    <col min="7181" max="7182" width="3" style="1" customWidth="1"/>
    <col min="7183" max="7183" width="0" style="1" hidden="1" customWidth="1"/>
    <col min="7184" max="7184" width="3" style="1" bestFit="1" customWidth="1"/>
    <col min="7185" max="7185" width="23.140625" style="1" customWidth="1"/>
    <col min="7186" max="7186" width="7.5703125" style="1" customWidth="1"/>
    <col min="7187" max="7188" width="3.140625" style="1" customWidth="1"/>
    <col min="7189" max="7189" width="22.7109375" style="1" customWidth="1"/>
    <col min="7190" max="7190" width="8.140625" style="1" customWidth="1"/>
    <col min="7191" max="7191" width="3.5703125" style="1" customWidth="1"/>
    <col min="7192" max="7424" width="11.42578125" style="1"/>
    <col min="7425" max="7425" width="1.28515625" style="1" customWidth="1"/>
    <col min="7426" max="7426" width="26.42578125" style="1" customWidth="1"/>
    <col min="7427" max="7427" width="0" style="1" hidden="1" customWidth="1"/>
    <col min="7428" max="7428" width="7.28515625" style="1" customWidth="1"/>
    <col min="7429" max="7429" width="3.140625" style="1" customWidth="1"/>
    <col min="7430" max="7430" width="3.42578125" style="1" customWidth="1"/>
    <col min="7431" max="7431" width="24.28515625" style="1" customWidth="1"/>
    <col min="7432" max="7432" width="7.7109375" style="1" customWidth="1"/>
    <col min="7433" max="7433" width="3.85546875" style="1" customWidth="1"/>
    <col min="7434" max="7434" width="3" style="1" customWidth="1"/>
    <col min="7435" max="7435" width="24" style="1" customWidth="1"/>
    <col min="7436" max="7436" width="6.42578125" style="1" customWidth="1"/>
    <col min="7437" max="7438" width="3" style="1" customWidth="1"/>
    <col min="7439" max="7439" width="0" style="1" hidden="1" customWidth="1"/>
    <col min="7440" max="7440" width="3" style="1" bestFit="1" customWidth="1"/>
    <col min="7441" max="7441" width="23.140625" style="1" customWidth="1"/>
    <col min="7442" max="7442" width="7.5703125" style="1" customWidth="1"/>
    <col min="7443" max="7444" width="3.140625" style="1" customWidth="1"/>
    <col min="7445" max="7445" width="22.7109375" style="1" customWidth="1"/>
    <col min="7446" max="7446" width="8.140625" style="1" customWidth="1"/>
    <col min="7447" max="7447" width="3.5703125" style="1" customWidth="1"/>
    <col min="7448" max="7680" width="11.42578125" style="1"/>
    <col min="7681" max="7681" width="1.28515625" style="1" customWidth="1"/>
    <col min="7682" max="7682" width="26.42578125" style="1" customWidth="1"/>
    <col min="7683" max="7683" width="0" style="1" hidden="1" customWidth="1"/>
    <col min="7684" max="7684" width="7.28515625" style="1" customWidth="1"/>
    <col min="7685" max="7685" width="3.140625" style="1" customWidth="1"/>
    <col min="7686" max="7686" width="3.42578125" style="1" customWidth="1"/>
    <col min="7687" max="7687" width="24.28515625" style="1" customWidth="1"/>
    <col min="7688" max="7688" width="7.7109375" style="1" customWidth="1"/>
    <col min="7689" max="7689" width="3.85546875" style="1" customWidth="1"/>
    <col min="7690" max="7690" width="3" style="1" customWidth="1"/>
    <col min="7691" max="7691" width="24" style="1" customWidth="1"/>
    <col min="7692" max="7692" width="6.42578125" style="1" customWidth="1"/>
    <col min="7693" max="7694" width="3" style="1" customWidth="1"/>
    <col min="7695" max="7695" width="0" style="1" hidden="1" customWidth="1"/>
    <col min="7696" max="7696" width="3" style="1" bestFit="1" customWidth="1"/>
    <col min="7697" max="7697" width="23.140625" style="1" customWidth="1"/>
    <col min="7698" max="7698" width="7.5703125" style="1" customWidth="1"/>
    <col min="7699" max="7700" width="3.140625" style="1" customWidth="1"/>
    <col min="7701" max="7701" width="22.7109375" style="1" customWidth="1"/>
    <col min="7702" max="7702" width="8.140625" style="1" customWidth="1"/>
    <col min="7703" max="7703" width="3.5703125" style="1" customWidth="1"/>
    <col min="7704" max="7936" width="11.42578125" style="1"/>
    <col min="7937" max="7937" width="1.28515625" style="1" customWidth="1"/>
    <col min="7938" max="7938" width="26.42578125" style="1" customWidth="1"/>
    <col min="7939" max="7939" width="0" style="1" hidden="1" customWidth="1"/>
    <col min="7940" max="7940" width="7.28515625" style="1" customWidth="1"/>
    <col min="7941" max="7941" width="3.140625" style="1" customWidth="1"/>
    <col min="7942" max="7942" width="3.42578125" style="1" customWidth="1"/>
    <col min="7943" max="7943" width="24.28515625" style="1" customWidth="1"/>
    <col min="7944" max="7944" width="7.7109375" style="1" customWidth="1"/>
    <col min="7945" max="7945" width="3.85546875" style="1" customWidth="1"/>
    <col min="7946" max="7946" width="3" style="1" customWidth="1"/>
    <col min="7947" max="7947" width="24" style="1" customWidth="1"/>
    <col min="7948" max="7948" width="6.42578125" style="1" customWidth="1"/>
    <col min="7949" max="7950" width="3" style="1" customWidth="1"/>
    <col min="7951" max="7951" width="0" style="1" hidden="1" customWidth="1"/>
    <col min="7952" max="7952" width="3" style="1" bestFit="1" customWidth="1"/>
    <col min="7953" max="7953" width="23.140625" style="1" customWidth="1"/>
    <col min="7954" max="7954" width="7.5703125" style="1" customWidth="1"/>
    <col min="7955" max="7956" width="3.140625" style="1" customWidth="1"/>
    <col min="7957" max="7957" width="22.7109375" style="1" customWidth="1"/>
    <col min="7958" max="7958" width="8.140625" style="1" customWidth="1"/>
    <col min="7959" max="7959" width="3.5703125" style="1" customWidth="1"/>
    <col min="7960" max="8192" width="11.42578125" style="1"/>
    <col min="8193" max="8193" width="1.28515625" style="1" customWidth="1"/>
    <col min="8194" max="8194" width="26.42578125" style="1" customWidth="1"/>
    <col min="8195" max="8195" width="0" style="1" hidden="1" customWidth="1"/>
    <col min="8196" max="8196" width="7.28515625" style="1" customWidth="1"/>
    <col min="8197" max="8197" width="3.140625" style="1" customWidth="1"/>
    <col min="8198" max="8198" width="3.42578125" style="1" customWidth="1"/>
    <col min="8199" max="8199" width="24.28515625" style="1" customWidth="1"/>
    <col min="8200" max="8200" width="7.7109375" style="1" customWidth="1"/>
    <col min="8201" max="8201" width="3.85546875" style="1" customWidth="1"/>
    <col min="8202" max="8202" width="3" style="1" customWidth="1"/>
    <col min="8203" max="8203" width="24" style="1" customWidth="1"/>
    <col min="8204" max="8204" width="6.42578125" style="1" customWidth="1"/>
    <col min="8205" max="8206" width="3" style="1" customWidth="1"/>
    <col min="8207" max="8207" width="0" style="1" hidden="1" customWidth="1"/>
    <col min="8208" max="8208" width="3" style="1" bestFit="1" customWidth="1"/>
    <col min="8209" max="8209" width="23.140625" style="1" customWidth="1"/>
    <col min="8210" max="8210" width="7.5703125" style="1" customWidth="1"/>
    <col min="8211" max="8212" width="3.140625" style="1" customWidth="1"/>
    <col min="8213" max="8213" width="22.7109375" style="1" customWidth="1"/>
    <col min="8214" max="8214" width="8.140625" style="1" customWidth="1"/>
    <col min="8215" max="8215" width="3.5703125" style="1" customWidth="1"/>
    <col min="8216" max="8448" width="11.42578125" style="1"/>
    <col min="8449" max="8449" width="1.28515625" style="1" customWidth="1"/>
    <col min="8450" max="8450" width="26.42578125" style="1" customWidth="1"/>
    <col min="8451" max="8451" width="0" style="1" hidden="1" customWidth="1"/>
    <col min="8452" max="8452" width="7.28515625" style="1" customWidth="1"/>
    <col min="8453" max="8453" width="3.140625" style="1" customWidth="1"/>
    <col min="8454" max="8454" width="3.42578125" style="1" customWidth="1"/>
    <col min="8455" max="8455" width="24.28515625" style="1" customWidth="1"/>
    <col min="8456" max="8456" width="7.7109375" style="1" customWidth="1"/>
    <col min="8457" max="8457" width="3.85546875" style="1" customWidth="1"/>
    <col min="8458" max="8458" width="3" style="1" customWidth="1"/>
    <col min="8459" max="8459" width="24" style="1" customWidth="1"/>
    <col min="8460" max="8460" width="6.42578125" style="1" customWidth="1"/>
    <col min="8461" max="8462" width="3" style="1" customWidth="1"/>
    <col min="8463" max="8463" width="0" style="1" hidden="1" customWidth="1"/>
    <col min="8464" max="8464" width="3" style="1" bestFit="1" customWidth="1"/>
    <col min="8465" max="8465" width="23.140625" style="1" customWidth="1"/>
    <col min="8466" max="8466" width="7.5703125" style="1" customWidth="1"/>
    <col min="8467" max="8468" width="3.140625" style="1" customWidth="1"/>
    <col min="8469" max="8469" width="22.7109375" style="1" customWidth="1"/>
    <col min="8470" max="8470" width="8.140625" style="1" customWidth="1"/>
    <col min="8471" max="8471" width="3.5703125" style="1" customWidth="1"/>
    <col min="8472" max="8704" width="11.42578125" style="1"/>
    <col min="8705" max="8705" width="1.28515625" style="1" customWidth="1"/>
    <col min="8706" max="8706" width="26.42578125" style="1" customWidth="1"/>
    <col min="8707" max="8707" width="0" style="1" hidden="1" customWidth="1"/>
    <col min="8708" max="8708" width="7.28515625" style="1" customWidth="1"/>
    <col min="8709" max="8709" width="3.140625" style="1" customWidth="1"/>
    <col min="8710" max="8710" width="3.42578125" style="1" customWidth="1"/>
    <col min="8711" max="8711" width="24.28515625" style="1" customWidth="1"/>
    <col min="8712" max="8712" width="7.7109375" style="1" customWidth="1"/>
    <col min="8713" max="8713" width="3.85546875" style="1" customWidth="1"/>
    <col min="8714" max="8714" width="3" style="1" customWidth="1"/>
    <col min="8715" max="8715" width="24" style="1" customWidth="1"/>
    <col min="8716" max="8716" width="6.42578125" style="1" customWidth="1"/>
    <col min="8717" max="8718" width="3" style="1" customWidth="1"/>
    <col min="8719" max="8719" width="0" style="1" hidden="1" customWidth="1"/>
    <col min="8720" max="8720" width="3" style="1" bestFit="1" customWidth="1"/>
    <col min="8721" max="8721" width="23.140625" style="1" customWidth="1"/>
    <col min="8722" max="8722" width="7.5703125" style="1" customWidth="1"/>
    <col min="8723" max="8724" width="3.140625" style="1" customWidth="1"/>
    <col min="8725" max="8725" width="22.7109375" style="1" customWidth="1"/>
    <col min="8726" max="8726" width="8.140625" style="1" customWidth="1"/>
    <col min="8727" max="8727" width="3.5703125" style="1" customWidth="1"/>
    <col min="8728" max="8960" width="11.42578125" style="1"/>
    <col min="8961" max="8961" width="1.28515625" style="1" customWidth="1"/>
    <col min="8962" max="8962" width="26.42578125" style="1" customWidth="1"/>
    <col min="8963" max="8963" width="0" style="1" hidden="1" customWidth="1"/>
    <col min="8964" max="8964" width="7.28515625" style="1" customWidth="1"/>
    <col min="8965" max="8965" width="3.140625" style="1" customWidth="1"/>
    <col min="8966" max="8966" width="3.42578125" style="1" customWidth="1"/>
    <col min="8967" max="8967" width="24.28515625" style="1" customWidth="1"/>
    <col min="8968" max="8968" width="7.7109375" style="1" customWidth="1"/>
    <col min="8969" max="8969" width="3.85546875" style="1" customWidth="1"/>
    <col min="8970" max="8970" width="3" style="1" customWidth="1"/>
    <col min="8971" max="8971" width="24" style="1" customWidth="1"/>
    <col min="8972" max="8972" width="6.42578125" style="1" customWidth="1"/>
    <col min="8973" max="8974" width="3" style="1" customWidth="1"/>
    <col min="8975" max="8975" width="0" style="1" hidden="1" customWidth="1"/>
    <col min="8976" max="8976" width="3" style="1" bestFit="1" customWidth="1"/>
    <col min="8977" max="8977" width="23.140625" style="1" customWidth="1"/>
    <col min="8978" max="8978" width="7.5703125" style="1" customWidth="1"/>
    <col min="8979" max="8980" width="3.140625" style="1" customWidth="1"/>
    <col min="8981" max="8981" width="22.7109375" style="1" customWidth="1"/>
    <col min="8982" max="8982" width="8.140625" style="1" customWidth="1"/>
    <col min="8983" max="8983" width="3.5703125" style="1" customWidth="1"/>
    <col min="8984" max="9216" width="11.42578125" style="1"/>
    <col min="9217" max="9217" width="1.28515625" style="1" customWidth="1"/>
    <col min="9218" max="9218" width="26.42578125" style="1" customWidth="1"/>
    <col min="9219" max="9219" width="0" style="1" hidden="1" customWidth="1"/>
    <col min="9220" max="9220" width="7.28515625" style="1" customWidth="1"/>
    <col min="9221" max="9221" width="3.140625" style="1" customWidth="1"/>
    <col min="9222" max="9222" width="3.42578125" style="1" customWidth="1"/>
    <col min="9223" max="9223" width="24.28515625" style="1" customWidth="1"/>
    <col min="9224" max="9224" width="7.7109375" style="1" customWidth="1"/>
    <col min="9225" max="9225" width="3.85546875" style="1" customWidth="1"/>
    <col min="9226" max="9226" width="3" style="1" customWidth="1"/>
    <col min="9227" max="9227" width="24" style="1" customWidth="1"/>
    <col min="9228" max="9228" width="6.42578125" style="1" customWidth="1"/>
    <col min="9229" max="9230" width="3" style="1" customWidth="1"/>
    <col min="9231" max="9231" width="0" style="1" hidden="1" customWidth="1"/>
    <col min="9232" max="9232" width="3" style="1" bestFit="1" customWidth="1"/>
    <col min="9233" max="9233" width="23.140625" style="1" customWidth="1"/>
    <col min="9234" max="9234" width="7.5703125" style="1" customWidth="1"/>
    <col min="9235" max="9236" width="3.140625" style="1" customWidth="1"/>
    <col min="9237" max="9237" width="22.7109375" style="1" customWidth="1"/>
    <col min="9238" max="9238" width="8.140625" style="1" customWidth="1"/>
    <col min="9239" max="9239" width="3.5703125" style="1" customWidth="1"/>
    <col min="9240" max="9472" width="11.42578125" style="1"/>
    <col min="9473" max="9473" width="1.28515625" style="1" customWidth="1"/>
    <col min="9474" max="9474" width="26.42578125" style="1" customWidth="1"/>
    <col min="9475" max="9475" width="0" style="1" hidden="1" customWidth="1"/>
    <col min="9476" max="9476" width="7.28515625" style="1" customWidth="1"/>
    <col min="9477" max="9477" width="3.140625" style="1" customWidth="1"/>
    <col min="9478" max="9478" width="3.42578125" style="1" customWidth="1"/>
    <col min="9479" max="9479" width="24.28515625" style="1" customWidth="1"/>
    <col min="9480" max="9480" width="7.7109375" style="1" customWidth="1"/>
    <col min="9481" max="9481" width="3.85546875" style="1" customWidth="1"/>
    <col min="9482" max="9482" width="3" style="1" customWidth="1"/>
    <col min="9483" max="9483" width="24" style="1" customWidth="1"/>
    <col min="9484" max="9484" width="6.42578125" style="1" customWidth="1"/>
    <col min="9485" max="9486" width="3" style="1" customWidth="1"/>
    <col min="9487" max="9487" width="0" style="1" hidden="1" customWidth="1"/>
    <col min="9488" max="9488" width="3" style="1" bestFit="1" customWidth="1"/>
    <col min="9489" max="9489" width="23.140625" style="1" customWidth="1"/>
    <col min="9490" max="9490" width="7.5703125" style="1" customWidth="1"/>
    <col min="9491" max="9492" width="3.140625" style="1" customWidth="1"/>
    <col min="9493" max="9493" width="22.7109375" style="1" customWidth="1"/>
    <col min="9494" max="9494" width="8.140625" style="1" customWidth="1"/>
    <col min="9495" max="9495" width="3.5703125" style="1" customWidth="1"/>
    <col min="9496" max="9728" width="11.42578125" style="1"/>
    <col min="9729" max="9729" width="1.28515625" style="1" customWidth="1"/>
    <col min="9730" max="9730" width="26.42578125" style="1" customWidth="1"/>
    <col min="9731" max="9731" width="0" style="1" hidden="1" customWidth="1"/>
    <col min="9732" max="9732" width="7.28515625" style="1" customWidth="1"/>
    <col min="9733" max="9733" width="3.140625" style="1" customWidth="1"/>
    <col min="9734" max="9734" width="3.42578125" style="1" customWidth="1"/>
    <col min="9735" max="9735" width="24.28515625" style="1" customWidth="1"/>
    <col min="9736" max="9736" width="7.7109375" style="1" customWidth="1"/>
    <col min="9737" max="9737" width="3.85546875" style="1" customWidth="1"/>
    <col min="9738" max="9738" width="3" style="1" customWidth="1"/>
    <col min="9739" max="9739" width="24" style="1" customWidth="1"/>
    <col min="9740" max="9740" width="6.42578125" style="1" customWidth="1"/>
    <col min="9741" max="9742" width="3" style="1" customWidth="1"/>
    <col min="9743" max="9743" width="0" style="1" hidden="1" customWidth="1"/>
    <col min="9744" max="9744" width="3" style="1" bestFit="1" customWidth="1"/>
    <col min="9745" max="9745" width="23.140625" style="1" customWidth="1"/>
    <col min="9746" max="9746" width="7.5703125" style="1" customWidth="1"/>
    <col min="9747" max="9748" width="3.140625" style="1" customWidth="1"/>
    <col min="9749" max="9749" width="22.7109375" style="1" customWidth="1"/>
    <col min="9750" max="9750" width="8.140625" style="1" customWidth="1"/>
    <col min="9751" max="9751" width="3.5703125" style="1" customWidth="1"/>
    <col min="9752" max="9984" width="11.42578125" style="1"/>
    <col min="9985" max="9985" width="1.28515625" style="1" customWidth="1"/>
    <col min="9986" max="9986" width="26.42578125" style="1" customWidth="1"/>
    <col min="9987" max="9987" width="0" style="1" hidden="1" customWidth="1"/>
    <col min="9988" max="9988" width="7.28515625" style="1" customWidth="1"/>
    <col min="9989" max="9989" width="3.140625" style="1" customWidth="1"/>
    <col min="9990" max="9990" width="3.42578125" style="1" customWidth="1"/>
    <col min="9991" max="9991" width="24.28515625" style="1" customWidth="1"/>
    <col min="9992" max="9992" width="7.7109375" style="1" customWidth="1"/>
    <col min="9993" max="9993" width="3.85546875" style="1" customWidth="1"/>
    <col min="9994" max="9994" width="3" style="1" customWidth="1"/>
    <col min="9995" max="9995" width="24" style="1" customWidth="1"/>
    <col min="9996" max="9996" width="6.42578125" style="1" customWidth="1"/>
    <col min="9997" max="9998" width="3" style="1" customWidth="1"/>
    <col min="9999" max="9999" width="0" style="1" hidden="1" customWidth="1"/>
    <col min="10000" max="10000" width="3" style="1" bestFit="1" customWidth="1"/>
    <col min="10001" max="10001" width="23.140625" style="1" customWidth="1"/>
    <col min="10002" max="10002" width="7.5703125" style="1" customWidth="1"/>
    <col min="10003" max="10004" width="3.140625" style="1" customWidth="1"/>
    <col min="10005" max="10005" width="22.7109375" style="1" customWidth="1"/>
    <col min="10006" max="10006" width="8.140625" style="1" customWidth="1"/>
    <col min="10007" max="10007" width="3.5703125" style="1" customWidth="1"/>
    <col min="10008" max="10240" width="11.42578125" style="1"/>
    <col min="10241" max="10241" width="1.28515625" style="1" customWidth="1"/>
    <col min="10242" max="10242" width="26.42578125" style="1" customWidth="1"/>
    <col min="10243" max="10243" width="0" style="1" hidden="1" customWidth="1"/>
    <col min="10244" max="10244" width="7.28515625" style="1" customWidth="1"/>
    <col min="10245" max="10245" width="3.140625" style="1" customWidth="1"/>
    <col min="10246" max="10246" width="3.42578125" style="1" customWidth="1"/>
    <col min="10247" max="10247" width="24.28515625" style="1" customWidth="1"/>
    <col min="10248" max="10248" width="7.7109375" style="1" customWidth="1"/>
    <col min="10249" max="10249" width="3.85546875" style="1" customWidth="1"/>
    <col min="10250" max="10250" width="3" style="1" customWidth="1"/>
    <col min="10251" max="10251" width="24" style="1" customWidth="1"/>
    <col min="10252" max="10252" width="6.42578125" style="1" customWidth="1"/>
    <col min="10253" max="10254" width="3" style="1" customWidth="1"/>
    <col min="10255" max="10255" width="0" style="1" hidden="1" customWidth="1"/>
    <col min="10256" max="10256" width="3" style="1" bestFit="1" customWidth="1"/>
    <col min="10257" max="10257" width="23.140625" style="1" customWidth="1"/>
    <col min="10258" max="10258" width="7.5703125" style="1" customWidth="1"/>
    <col min="10259" max="10260" width="3.140625" style="1" customWidth="1"/>
    <col min="10261" max="10261" width="22.7109375" style="1" customWidth="1"/>
    <col min="10262" max="10262" width="8.140625" style="1" customWidth="1"/>
    <col min="10263" max="10263" width="3.5703125" style="1" customWidth="1"/>
    <col min="10264" max="10496" width="11.42578125" style="1"/>
    <col min="10497" max="10497" width="1.28515625" style="1" customWidth="1"/>
    <col min="10498" max="10498" width="26.42578125" style="1" customWidth="1"/>
    <col min="10499" max="10499" width="0" style="1" hidden="1" customWidth="1"/>
    <col min="10500" max="10500" width="7.28515625" style="1" customWidth="1"/>
    <col min="10501" max="10501" width="3.140625" style="1" customWidth="1"/>
    <col min="10502" max="10502" width="3.42578125" style="1" customWidth="1"/>
    <col min="10503" max="10503" width="24.28515625" style="1" customWidth="1"/>
    <col min="10504" max="10504" width="7.7109375" style="1" customWidth="1"/>
    <col min="10505" max="10505" width="3.85546875" style="1" customWidth="1"/>
    <col min="10506" max="10506" width="3" style="1" customWidth="1"/>
    <col min="10507" max="10507" width="24" style="1" customWidth="1"/>
    <col min="10508" max="10508" width="6.42578125" style="1" customWidth="1"/>
    <col min="10509" max="10510" width="3" style="1" customWidth="1"/>
    <col min="10511" max="10511" width="0" style="1" hidden="1" customWidth="1"/>
    <col min="10512" max="10512" width="3" style="1" bestFit="1" customWidth="1"/>
    <col min="10513" max="10513" width="23.140625" style="1" customWidth="1"/>
    <col min="10514" max="10514" width="7.5703125" style="1" customWidth="1"/>
    <col min="10515" max="10516" width="3.140625" style="1" customWidth="1"/>
    <col min="10517" max="10517" width="22.7109375" style="1" customWidth="1"/>
    <col min="10518" max="10518" width="8.140625" style="1" customWidth="1"/>
    <col min="10519" max="10519" width="3.5703125" style="1" customWidth="1"/>
    <col min="10520" max="10752" width="11.42578125" style="1"/>
    <col min="10753" max="10753" width="1.28515625" style="1" customWidth="1"/>
    <col min="10754" max="10754" width="26.42578125" style="1" customWidth="1"/>
    <col min="10755" max="10755" width="0" style="1" hidden="1" customWidth="1"/>
    <col min="10756" max="10756" width="7.28515625" style="1" customWidth="1"/>
    <col min="10757" max="10757" width="3.140625" style="1" customWidth="1"/>
    <col min="10758" max="10758" width="3.42578125" style="1" customWidth="1"/>
    <col min="10759" max="10759" width="24.28515625" style="1" customWidth="1"/>
    <col min="10760" max="10760" width="7.7109375" style="1" customWidth="1"/>
    <col min="10761" max="10761" width="3.85546875" style="1" customWidth="1"/>
    <col min="10762" max="10762" width="3" style="1" customWidth="1"/>
    <col min="10763" max="10763" width="24" style="1" customWidth="1"/>
    <col min="10764" max="10764" width="6.42578125" style="1" customWidth="1"/>
    <col min="10765" max="10766" width="3" style="1" customWidth="1"/>
    <col min="10767" max="10767" width="0" style="1" hidden="1" customWidth="1"/>
    <col min="10768" max="10768" width="3" style="1" bestFit="1" customWidth="1"/>
    <col min="10769" max="10769" width="23.140625" style="1" customWidth="1"/>
    <col min="10770" max="10770" width="7.5703125" style="1" customWidth="1"/>
    <col min="10771" max="10772" width="3.140625" style="1" customWidth="1"/>
    <col min="10773" max="10773" width="22.7109375" style="1" customWidth="1"/>
    <col min="10774" max="10774" width="8.140625" style="1" customWidth="1"/>
    <col min="10775" max="10775" width="3.5703125" style="1" customWidth="1"/>
    <col min="10776" max="11008" width="11.42578125" style="1"/>
    <col min="11009" max="11009" width="1.28515625" style="1" customWidth="1"/>
    <col min="11010" max="11010" width="26.42578125" style="1" customWidth="1"/>
    <col min="11011" max="11011" width="0" style="1" hidden="1" customWidth="1"/>
    <col min="11012" max="11012" width="7.28515625" style="1" customWidth="1"/>
    <col min="11013" max="11013" width="3.140625" style="1" customWidth="1"/>
    <col min="11014" max="11014" width="3.42578125" style="1" customWidth="1"/>
    <col min="11015" max="11015" width="24.28515625" style="1" customWidth="1"/>
    <col min="11016" max="11016" width="7.7109375" style="1" customWidth="1"/>
    <col min="11017" max="11017" width="3.85546875" style="1" customWidth="1"/>
    <col min="11018" max="11018" width="3" style="1" customWidth="1"/>
    <col min="11019" max="11019" width="24" style="1" customWidth="1"/>
    <col min="11020" max="11020" width="6.42578125" style="1" customWidth="1"/>
    <col min="11021" max="11022" width="3" style="1" customWidth="1"/>
    <col min="11023" max="11023" width="0" style="1" hidden="1" customWidth="1"/>
    <col min="11024" max="11024" width="3" style="1" bestFit="1" customWidth="1"/>
    <col min="11025" max="11025" width="23.140625" style="1" customWidth="1"/>
    <col min="11026" max="11026" width="7.5703125" style="1" customWidth="1"/>
    <col min="11027" max="11028" width="3.140625" style="1" customWidth="1"/>
    <col min="11029" max="11029" width="22.7109375" style="1" customWidth="1"/>
    <col min="11030" max="11030" width="8.140625" style="1" customWidth="1"/>
    <col min="11031" max="11031" width="3.5703125" style="1" customWidth="1"/>
    <col min="11032" max="11264" width="11.42578125" style="1"/>
    <col min="11265" max="11265" width="1.28515625" style="1" customWidth="1"/>
    <col min="11266" max="11266" width="26.42578125" style="1" customWidth="1"/>
    <col min="11267" max="11267" width="0" style="1" hidden="1" customWidth="1"/>
    <col min="11268" max="11268" width="7.28515625" style="1" customWidth="1"/>
    <col min="11269" max="11269" width="3.140625" style="1" customWidth="1"/>
    <col min="11270" max="11270" width="3.42578125" style="1" customWidth="1"/>
    <col min="11271" max="11271" width="24.28515625" style="1" customWidth="1"/>
    <col min="11272" max="11272" width="7.7109375" style="1" customWidth="1"/>
    <col min="11273" max="11273" width="3.85546875" style="1" customWidth="1"/>
    <col min="11274" max="11274" width="3" style="1" customWidth="1"/>
    <col min="11275" max="11275" width="24" style="1" customWidth="1"/>
    <col min="11276" max="11276" width="6.42578125" style="1" customWidth="1"/>
    <col min="11277" max="11278" width="3" style="1" customWidth="1"/>
    <col min="11279" max="11279" width="0" style="1" hidden="1" customWidth="1"/>
    <col min="11280" max="11280" width="3" style="1" bestFit="1" customWidth="1"/>
    <col min="11281" max="11281" width="23.140625" style="1" customWidth="1"/>
    <col min="11282" max="11282" width="7.5703125" style="1" customWidth="1"/>
    <col min="11283" max="11284" width="3.140625" style="1" customWidth="1"/>
    <col min="11285" max="11285" width="22.7109375" style="1" customWidth="1"/>
    <col min="11286" max="11286" width="8.140625" style="1" customWidth="1"/>
    <col min="11287" max="11287" width="3.5703125" style="1" customWidth="1"/>
    <col min="11288" max="11520" width="11.42578125" style="1"/>
    <col min="11521" max="11521" width="1.28515625" style="1" customWidth="1"/>
    <col min="11522" max="11522" width="26.42578125" style="1" customWidth="1"/>
    <col min="11523" max="11523" width="0" style="1" hidden="1" customWidth="1"/>
    <col min="11524" max="11524" width="7.28515625" style="1" customWidth="1"/>
    <col min="11525" max="11525" width="3.140625" style="1" customWidth="1"/>
    <col min="11526" max="11526" width="3.42578125" style="1" customWidth="1"/>
    <col min="11527" max="11527" width="24.28515625" style="1" customWidth="1"/>
    <col min="11528" max="11528" width="7.7109375" style="1" customWidth="1"/>
    <col min="11529" max="11529" width="3.85546875" style="1" customWidth="1"/>
    <col min="11530" max="11530" width="3" style="1" customWidth="1"/>
    <col min="11531" max="11531" width="24" style="1" customWidth="1"/>
    <col min="11532" max="11532" width="6.42578125" style="1" customWidth="1"/>
    <col min="11533" max="11534" width="3" style="1" customWidth="1"/>
    <col min="11535" max="11535" width="0" style="1" hidden="1" customWidth="1"/>
    <col min="11536" max="11536" width="3" style="1" bestFit="1" customWidth="1"/>
    <col min="11537" max="11537" width="23.140625" style="1" customWidth="1"/>
    <col min="11538" max="11538" width="7.5703125" style="1" customWidth="1"/>
    <col min="11539" max="11540" width="3.140625" style="1" customWidth="1"/>
    <col min="11541" max="11541" width="22.7109375" style="1" customWidth="1"/>
    <col min="11542" max="11542" width="8.140625" style="1" customWidth="1"/>
    <col min="11543" max="11543" width="3.5703125" style="1" customWidth="1"/>
    <col min="11544" max="11776" width="11.42578125" style="1"/>
    <col min="11777" max="11777" width="1.28515625" style="1" customWidth="1"/>
    <col min="11778" max="11778" width="26.42578125" style="1" customWidth="1"/>
    <col min="11779" max="11779" width="0" style="1" hidden="1" customWidth="1"/>
    <col min="11780" max="11780" width="7.28515625" style="1" customWidth="1"/>
    <col min="11781" max="11781" width="3.140625" style="1" customWidth="1"/>
    <col min="11782" max="11782" width="3.42578125" style="1" customWidth="1"/>
    <col min="11783" max="11783" width="24.28515625" style="1" customWidth="1"/>
    <col min="11784" max="11784" width="7.7109375" style="1" customWidth="1"/>
    <col min="11785" max="11785" width="3.85546875" style="1" customWidth="1"/>
    <col min="11786" max="11786" width="3" style="1" customWidth="1"/>
    <col min="11787" max="11787" width="24" style="1" customWidth="1"/>
    <col min="11788" max="11788" width="6.42578125" style="1" customWidth="1"/>
    <col min="11789" max="11790" width="3" style="1" customWidth="1"/>
    <col min="11791" max="11791" width="0" style="1" hidden="1" customWidth="1"/>
    <col min="11792" max="11792" width="3" style="1" bestFit="1" customWidth="1"/>
    <col min="11793" max="11793" width="23.140625" style="1" customWidth="1"/>
    <col min="11794" max="11794" width="7.5703125" style="1" customWidth="1"/>
    <col min="11795" max="11796" width="3.140625" style="1" customWidth="1"/>
    <col min="11797" max="11797" width="22.7109375" style="1" customWidth="1"/>
    <col min="11798" max="11798" width="8.140625" style="1" customWidth="1"/>
    <col min="11799" max="11799" width="3.5703125" style="1" customWidth="1"/>
    <col min="11800" max="12032" width="11.42578125" style="1"/>
    <col min="12033" max="12033" width="1.28515625" style="1" customWidth="1"/>
    <col min="12034" max="12034" width="26.42578125" style="1" customWidth="1"/>
    <col min="12035" max="12035" width="0" style="1" hidden="1" customWidth="1"/>
    <col min="12036" max="12036" width="7.28515625" style="1" customWidth="1"/>
    <col min="12037" max="12037" width="3.140625" style="1" customWidth="1"/>
    <col min="12038" max="12038" width="3.42578125" style="1" customWidth="1"/>
    <col min="12039" max="12039" width="24.28515625" style="1" customWidth="1"/>
    <col min="12040" max="12040" width="7.7109375" style="1" customWidth="1"/>
    <col min="12041" max="12041" width="3.85546875" style="1" customWidth="1"/>
    <col min="12042" max="12042" width="3" style="1" customWidth="1"/>
    <col min="12043" max="12043" width="24" style="1" customWidth="1"/>
    <col min="12044" max="12044" width="6.42578125" style="1" customWidth="1"/>
    <col min="12045" max="12046" width="3" style="1" customWidth="1"/>
    <col min="12047" max="12047" width="0" style="1" hidden="1" customWidth="1"/>
    <col min="12048" max="12048" width="3" style="1" bestFit="1" customWidth="1"/>
    <col min="12049" max="12049" width="23.140625" style="1" customWidth="1"/>
    <col min="12050" max="12050" width="7.5703125" style="1" customWidth="1"/>
    <col min="12051" max="12052" width="3.140625" style="1" customWidth="1"/>
    <col min="12053" max="12053" width="22.7109375" style="1" customWidth="1"/>
    <col min="12054" max="12054" width="8.140625" style="1" customWidth="1"/>
    <col min="12055" max="12055" width="3.5703125" style="1" customWidth="1"/>
    <col min="12056" max="12288" width="11.42578125" style="1"/>
    <col min="12289" max="12289" width="1.28515625" style="1" customWidth="1"/>
    <col min="12290" max="12290" width="26.42578125" style="1" customWidth="1"/>
    <col min="12291" max="12291" width="0" style="1" hidden="1" customWidth="1"/>
    <col min="12292" max="12292" width="7.28515625" style="1" customWidth="1"/>
    <col min="12293" max="12293" width="3.140625" style="1" customWidth="1"/>
    <col min="12294" max="12294" width="3.42578125" style="1" customWidth="1"/>
    <col min="12295" max="12295" width="24.28515625" style="1" customWidth="1"/>
    <col min="12296" max="12296" width="7.7109375" style="1" customWidth="1"/>
    <col min="12297" max="12297" width="3.85546875" style="1" customWidth="1"/>
    <col min="12298" max="12298" width="3" style="1" customWidth="1"/>
    <col min="12299" max="12299" width="24" style="1" customWidth="1"/>
    <col min="12300" max="12300" width="6.42578125" style="1" customWidth="1"/>
    <col min="12301" max="12302" width="3" style="1" customWidth="1"/>
    <col min="12303" max="12303" width="0" style="1" hidden="1" customWidth="1"/>
    <col min="12304" max="12304" width="3" style="1" bestFit="1" customWidth="1"/>
    <col min="12305" max="12305" width="23.140625" style="1" customWidth="1"/>
    <col min="12306" max="12306" width="7.5703125" style="1" customWidth="1"/>
    <col min="12307" max="12308" width="3.140625" style="1" customWidth="1"/>
    <col min="12309" max="12309" width="22.7109375" style="1" customWidth="1"/>
    <col min="12310" max="12310" width="8.140625" style="1" customWidth="1"/>
    <col min="12311" max="12311" width="3.5703125" style="1" customWidth="1"/>
    <col min="12312" max="12544" width="11.42578125" style="1"/>
    <col min="12545" max="12545" width="1.28515625" style="1" customWidth="1"/>
    <col min="12546" max="12546" width="26.42578125" style="1" customWidth="1"/>
    <col min="12547" max="12547" width="0" style="1" hidden="1" customWidth="1"/>
    <col min="12548" max="12548" width="7.28515625" style="1" customWidth="1"/>
    <col min="12549" max="12549" width="3.140625" style="1" customWidth="1"/>
    <col min="12550" max="12550" width="3.42578125" style="1" customWidth="1"/>
    <col min="12551" max="12551" width="24.28515625" style="1" customWidth="1"/>
    <col min="12552" max="12552" width="7.7109375" style="1" customWidth="1"/>
    <col min="12553" max="12553" width="3.85546875" style="1" customWidth="1"/>
    <col min="12554" max="12554" width="3" style="1" customWidth="1"/>
    <col min="12555" max="12555" width="24" style="1" customWidth="1"/>
    <col min="12556" max="12556" width="6.42578125" style="1" customWidth="1"/>
    <col min="12557" max="12558" width="3" style="1" customWidth="1"/>
    <col min="12559" max="12559" width="0" style="1" hidden="1" customWidth="1"/>
    <col min="12560" max="12560" width="3" style="1" bestFit="1" customWidth="1"/>
    <col min="12561" max="12561" width="23.140625" style="1" customWidth="1"/>
    <col min="12562" max="12562" width="7.5703125" style="1" customWidth="1"/>
    <col min="12563" max="12564" width="3.140625" style="1" customWidth="1"/>
    <col min="12565" max="12565" width="22.7109375" style="1" customWidth="1"/>
    <col min="12566" max="12566" width="8.140625" style="1" customWidth="1"/>
    <col min="12567" max="12567" width="3.5703125" style="1" customWidth="1"/>
    <col min="12568" max="12800" width="11.42578125" style="1"/>
    <col min="12801" max="12801" width="1.28515625" style="1" customWidth="1"/>
    <col min="12802" max="12802" width="26.42578125" style="1" customWidth="1"/>
    <col min="12803" max="12803" width="0" style="1" hidden="1" customWidth="1"/>
    <col min="12804" max="12804" width="7.28515625" style="1" customWidth="1"/>
    <col min="12805" max="12805" width="3.140625" style="1" customWidth="1"/>
    <col min="12806" max="12806" width="3.42578125" style="1" customWidth="1"/>
    <col min="12807" max="12807" width="24.28515625" style="1" customWidth="1"/>
    <col min="12808" max="12808" width="7.7109375" style="1" customWidth="1"/>
    <col min="12809" max="12809" width="3.85546875" style="1" customWidth="1"/>
    <col min="12810" max="12810" width="3" style="1" customWidth="1"/>
    <col min="12811" max="12811" width="24" style="1" customWidth="1"/>
    <col min="12812" max="12812" width="6.42578125" style="1" customWidth="1"/>
    <col min="12813" max="12814" width="3" style="1" customWidth="1"/>
    <col min="12815" max="12815" width="0" style="1" hidden="1" customWidth="1"/>
    <col min="12816" max="12816" width="3" style="1" bestFit="1" customWidth="1"/>
    <col min="12817" max="12817" width="23.140625" style="1" customWidth="1"/>
    <col min="12818" max="12818" width="7.5703125" style="1" customWidth="1"/>
    <col min="12819" max="12820" width="3.140625" style="1" customWidth="1"/>
    <col min="12821" max="12821" width="22.7109375" style="1" customWidth="1"/>
    <col min="12822" max="12822" width="8.140625" style="1" customWidth="1"/>
    <col min="12823" max="12823" width="3.5703125" style="1" customWidth="1"/>
    <col min="12824" max="13056" width="11.42578125" style="1"/>
    <col min="13057" max="13057" width="1.28515625" style="1" customWidth="1"/>
    <col min="13058" max="13058" width="26.42578125" style="1" customWidth="1"/>
    <col min="13059" max="13059" width="0" style="1" hidden="1" customWidth="1"/>
    <col min="13060" max="13060" width="7.28515625" style="1" customWidth="1"/>
    <col min="13061" max="13061" width="3.140625" style="1" customWidth="1"/>
    <col min="13062" max="13062" width="3.42578125" style="1" customWidth="1"/>
    <col min="13063" max="13063" width="24.28515625" style="1" customWidth="1"/>
    <col min="13064" max="13064" width="7.7109375" style="1" customWidth="1"/>
    <col min="13065" max="13065" width="3.85546875" style="1" customWidth="1"/>
    <col min="13066" max="13066" width="3" style="1" customWidth="1"/>
    <col min="13067" max="13067" width="24" style="1" customWidth="1"/>
    <col min="13068" max="13068" width="6.42578125" style="1" customWidth="1"/>
    <col min="13069" max="13070" width="3" style="1" customWidth="1"/>
    <col min="13071" max="13071" width="0" style="1" hidden="1" customWidth="1"/>
    <col min="13072" max="13072" width="3" style="1" bestFit="1" customWidth="1"/>
    <col min="13073" max="13073" width="23.140625" style="1" customWidth="1"/>
    <col min="13074" max="13074" width="7.5703125" style="1" customWidth="1"/>
    <col min="13075" max="13076" width="3.140625" style="1" customWidth="1"/>
    <col min="13077" max="13077" width="22.7109375" style="1" customWidth="1"/>
    <col min="13078" max="13078" width="8.140625" style="1" customWidth="1"/>
    <col min="13079" max="13079" width="3.5703125" style="1" customWidth="1"/>
    <col min="13080" max="13312" width="11.42578125" style="1"/>
    <col min="13313" max="13313" width="1.28515625" style="1" customWidth="1"/>
    <col min="13314" max="13314" width="26.42578125" style="1" customWidth="1"/>
    <col min="13315" max="13315" width="0" style="1" hidden="1" customWidth="1"/>
    <col min="13316" max="13316" width="7.28515625" style="1" customWidth="1"/>
    <col min="13317" max="13317" width="3.140625" style="1" customWidth="1"/>
    <col min="13318" max="13318" width="3.42578125" style="1" customWidth="1"/>
    <col min="13319" max="13319" width="24.28515625" style="1" customWidth="1"/>
    <col min="13320" max="13320" width="7.7109375" style="1" customWidth="1"/>
    <col min="13321" max="13321" width="3.85546875" style="1" customWidth="1"/>
    <col min="13322" max="13322" width="3" style="1" customWidth="1"/>
    <col min="13323" max="13323" width="24" style="1" customWidth="1"/>
    <col min="13324" max="13324" width="6.42578125" style="1" customWidth="1"/>
    <col min="13325" max="13326" width="3" style="1" customWidth="1"/>
    <col min="13327" max="13327" width="0" style="1" hidden="1" customWidth="1"/>
    <col min="13328" max="13328" width="3" style="1" bestFit="1" customWidth="1"/>
    <col min="13329" max="13329" width="23.140625" style="1" customWidth="1"/>
    <col min="13330" max="13330" width="7.5703125" style="1" customWidth="1"/>
    <col min="13331" max="13332" width="3.140625" style="1" customWidth="1"/>
    <col min="13333" max="13333" width="22.7109375" style="1" customWidth="1"/>
    <col min="13334" max="13334" width="8.140625" style="1" customWidth="1"/>
    <col min="13335" max="13335" width="3.5703125" style="1" customWidth="1"/>
    <col min="13336" max="13568" width="11.42578125" style="1"/>
    <col min="13569" max="13569" width="1.28515625" style="1" customWidth="1"/>
    <col min="13570" max="13570" width="26.42578125" style="1" customWidth="1"/>
    <col min="13571" max="13571" width="0" style="1" hidden="1" customWidth="1"/>
    <col min="13572" max="13572" width="7.28515625" style="1" customWidth="1"/>
    <col min="13573" max="13573" width="3.140625" style="1" customWidth="1"/>
    <col min="13574" max="13574" width="3.42578125" style="1" customWidth="1"/>
    <col min="13575" max="13575" width="24.28515625" style="1" customWidth="1"/>
    <col min="13576" max="13576" width="7.7109375" style="1" customWidth="1"/>
    <col min="13577" max="13577" width="3.85546875" style="1" customWidth="1"/>
    <col min="13578" max="13578" width="3" style="1" customWidth="1"/>
    <col min="13579" max="13579" width="24" style="1" customWidth="1"/>
    <col min="13580" max="13580" width="6.42578125" style="1" customWidth="1"/>
    <col min="13581" max="13582" width="3" style="1" customWidth="1"/>
    <col min="13583" max="13583" width="0" style="1" hidden="1" customWidth="1"/>
    <col min="13584" max="13584" width="3" style="1" bestFit="1" customWidth="1"/>
    <col min="13585" max="13585" width="23.140625" style="1" customWidth="1"/>
    <col min="13586" max="13586" width="7.5703125" style="1" customWidth="1"/>
    <col min="13587" max="13588" width="3.140625" style="1" customWidth="1"/>
    <col min="13589" max="13589" width="22.7109375" style="1" customWidth="1"/>
    <col min="13590" max="13590" width="8.140625" style="1" customWidth="1"/>
    <col min="13591" max="13591" width="3.5703125" style="1" customWidth="1"/>
    <col min="13592" max="13824" width="11.42578125" style="1"/>
    <col min="13825" max="13825" width="1.28515625" style="1" customWidth="1"/>
    <col min="13826" max="13826" width="26.42578125" style="1" customWidth="1"/>
    <col min="13827" max="13827" width="0" style="1" hidden="1" customWidth="1"/>
    <col min="13828" max="13828" width="7.28515625" style="1" customWidth="1"/>
    <col min="13829" max="13829" width="3.140625" style="1" customWidth="1"/>
    <col min="13830" max="13830" width="3.42578125" style="1" customWidth="1"/>
    <col min="13831" max="13831" width="24.28515625" style="1" customWidth="1"/>
    <col min="13832" max="13832" width="7.7109375" style="1" customWidth="1"/>
    <col min="13833" max="13833" width="3.85546875" style="1" customWidth="1"/>
    <col min="13834" max="13834" width="3" style="1" customWidth="1"/>
    <col min="13835" max="13835" width="24" style="1" customWidth="1"/>
    <col min="13836" max="13836" width="6.42578125" style="1" customWidth="1"/>
    <col min="13837" max="13838" width="3" style="1" customWidth="1"/>
    <col min="13839" max="13839" width="0" style="1" hidden="1" customWidth="1"/>
    <col min="13840" max="13840" width="3" style="1" bestFit="1" customWidth="1"/>
    <col min="13841" max="13841" width="23.140625" style="1" customWidth="1"/>
    <col min="13842" max="13842" width="7.5703125" style="1" customWidth="1"/>
    <col min="13843" max="13844" width="3.140625" style="1" customWidth="1"/>
    <col min="13845" max="13845" width="22.7109375" style="1" customWidth="1"/>
    <col min="13846" max="13846" width="8.140625" style="1" customWidth="1"/>
    <col min="13847" max="13847" width="3.5703125" style="1" customWidth="1"/>
    <col min="13848" max="14080" width="11.42578125" style="1"/>
    <col min="14081" max="14081" width="1.28515625" style="1" customWidth="1"/>
    <col min="14082" max="14082" width="26.42578125" style="1" customWidth="1"/>
    <col min="14083" max="14083" width="0" style="1" hidden="1" customWidth="1"/>
    <col min="14084" max="14084" width="7.28515625" style="1" customWidth="1"/>
    <col min="14085" max="14085" width="3.140625" style="1" customWidth="1"/>
    <col min="14086" max="14086" width="3.42578125" style="1" customWidth="1"/>
    <col min="14087" max="14087" width="24.28515625" style="1" customWidth="1"/>
    <col min="14088" max="14088" width="7.7109375" style="1" customWidth="1"/>
    <col min="14089" max="14089" width="3.85546875" style="1" customWidth="1"/>
    <col min="14090" max="14090" width="3" style="1" customWidth="1"/>
    <col min="14091" max="14091" width="24" style="1" customWidth="1"/>
    <col min="14092" max="14092" width="6.42578125" style="1" customWidth="1"/>
    <col min="14093" max="14094" width="3" style="1" customWidth="1"/>
    <col min="14095" max="14095" width="0" style="1" hidden="1" customWidth="1"/>
    <col min="14096" max="14096" width="3" style="1" bestFit="1" customWidth="1"/>
    <col min="14097" max="14097" width="23.140625" style="1" customWidth="1"/>
    <col min="14098" max="14098" width="7.5703125" style="1" customWidth="1"/>
    <col min="14099" max="14100" width="3.140625" style="1" customWidth="1"/>
    <col min="14101" max="14101" width="22.7109375" style="1" customWidth="1"/>
    <col min="14102" max="14102" width="8.140625" style="1" customWidth="1"/>
    <col min="14103" max="14103" width="3.5703125" style="1" customWidth="1"/>
    <col min="14104" max="14336" width="11.42578125" style="1"/>
    <col min="14337" max="14337" width="1.28515625" style="1" customWidth="1"/>
    <col min="14338" max="14338" width="26.42578125" style="1" customWidth="1"/>
    <col min="14339" max="14339" width="0" style="1" hidden="1" customWidth="1"/>
    <col min="14340" max="14340" width="7.28515625" style="1" customWidth="1"/>
    <col min="14341" max="14341" width="3.140625" style="1" customWidth="1"/>
    <col min="14342" max="14342" width="3.42578125" style="1" customWidth="1"/>
    <col min="14343" max="14343" width="24.28515625" style="1" customWidth="1"/>
    <col min="14344" max="14344" width="7.7109375" style="1" customWidth="1"/>
    <col min="14345" max="14345" width="3.85546875" style="1" customWidth="1"/>
    <col min="14346" max="14346" width="3" style="1" customWidth="1"/>
    <col min="14347" max="14347" width="24" style="1" customWidth="1"/>
    <col min="14348" max="14348" width="6.42578125" style="1" customWidth="1"/>
    <col min="14349" max="14350" width="3" style="1" customWidth="1"/>
    <col min="14351" max="14351" width="0" style="1" hidden="1" customWidth="1"/>
    <col min="14352" max="14352" width="3" style="1" bestFit="1" customWidth="1"/>
    <col min="14353" max="14353" width="23.140625" style="1" customWidth="1"/>
    <col min="14354" max="14354" width="7.5703125" style="1" customWidth="1"/>
    <col min="14355" max="14356" width="3.140625" style="1" customWidth="1"/>
    <col min="14357" max="14357" width="22.7109375" style="1" customWidth="1"/>
    <col min="14358" max="14358" width="8.140625" style="1" customWidth="1"/>
    <col min="14359" max="14359" width="3.5703125" style="1" customWidth="1"/>
    <col min="14360" max="14592" width="11.42578125" style="1"/>
    <col min="14593" max="14593" width="1.28515625" style="1" customWidth="1"/>
    <col min="14594" max="14594" width="26.42578125" style="1" customWidth="1"/>
    <col min="14595" max="14595" width="0" style="1" hidden="1" customWidth="1"/>
    <col min="14596" max="14596" width="7.28515625" style="1" customWidth="1"/>
    <col min="14597" max="14597" width="3.140625" style="1" customWidth="1"/>
    <col min="14598" max="14598" width="3.42578125" style="1" customWidth="1"/>
    <col min="14599" max="14599" width="24.28515625" style="1" customWidth="1"/>
    <col min="14600" max="14600" width="7.7109375" style="1" customWidth="1"/>
    <col min="14601" max="14601" width="3.85546875" style="1" customWidth="1"/>
    <col min="14602" max="14602" width="3" style="1" customWidth="1"/>
    <col min="14603" max="14603" width="24" style="1" customWidth="1"/>
    <col min="14604" max="14604" width="6.42578125" style="1" customWidth="1"/>
    <col min="14605" max="14606" width="3" style="1" customWidth="1"/>
    <col min="14607" max="14607" width="0" style="1" hidden="1" customWidth="1"/>
    <col min="14608" max="14608" width="3" style="1" bestFit="1" customWidth="1"/>
    <col min="14609" max="14609" width="23.140625" style="1" customWidth="1"/>
    <col min="14610" max="14610" width="7.5703125" style="1" customWidth="1"/>
    <col min="14611" max="14612" width="3.140625" style="1" customWidth="1"/>
    <col min="14613" max="14613" width="22.7109375" style="1" customWidth="1"/>
    <col min="14614" max="14614" width="8.140625" style="1" customWidth="1"/>
    <col min="14615" max="14615" width="3.5703125" style="1" customWidth="1"/>
    <col min="14616" max="14848" width="11.42578125" style="1"/>
    <col min="14849" max="14849" width="1.28515625" style="1" customWidth="1"/>
    <col min="14850" max="14850" width="26.42578125" style="1" customWidth="1"/>
    <col min="14851" max="14851" width="0" style="1" hidden="1" customWidth="1"/>
    <col min="14852" max="14852" width="7.28515625" style="1" customWidth="1"/>
    <col min="14853" max="14853" width="3.140625" style="1" customWidth="1"/>
    <col min="14854" max="14854" width="3.42578125" style="1" customWidth="1"/>
    <col min="14855" max="14855" width="24.28515625" style="1" customWidth="1"/>
    <col min="14856" max="14856" width="7.7109375" style="1" customWidth="1"/>
    <col min="14857" max="14857" width="3.85546875" style="1" customWidth="1"/>
    <col min="14858" max="14858" width="3" style="1" customWidth="1"/>
    <col min="14859" max="14859" width="24" style="1" customWidth="1"/>
    <col min="14860" max="14860" width="6.42578125" style="1" customWidth="1"/>
    <col min="14861" max="14862" width="3" style="1" customWidth="1"/>
    <col min="14863" max="14863" width="0" style="1" hidden="1" customWidth="1"/>
    <col min="14864" max="14864" width="3" style="1" bestFit="1" customWidth="1"/>
    <col min="14865" max="14865" width="23.140625" style="1" customWidth="1"/>
    <col min="14866" max="14866" width="7.5703125" style="1" customWidth="1"/>
    <col min="14867" max="14868" width="3.140625" style="1" customWidth="1"/>
    <col min="14869" max="14869" width="22.7109375" style="1" customWidth="1"/>
    <col min="14870" max="14870" width="8.140625" style="1" customWidth="1"/>
    <col min="14871" max="14871" width="3.5703125" style="1" customWidth="1"/>
    <col min="14872" max="15104" width="11.42578125" style="1"/>
    <col min="15105" max="15105" width="1.28515625" style="1" customWidth="1"/>
    <col min="15106" max="15106" width="26.42578125" style="1" customWidth="1"/>
    <col min="15107" max="15107" width="0" style="1" hidden="1" customWidth="1"/>
    <col min="15108" max="15108" width="7.28515625" style="1" customWidth="1"/>
    <col min="15109" max="15109" width="3.140625" style="1" customWidth="1"/>
    <col min="15110" max="15110" width="3.42578125" style="1" customWidth="1"/>
    <col min="15111" max="15111" width="24.28515625" style="1" customWidth="1"/>
    <col min="15112" max="15112" width="7.7109375" style="1" customWidth="1"/>
    <col min="15113" max="15113" width="3.85546875" style="1" customWidth="1"/>
    <col min="15114" max="15114" width="3" style="1" customWidth="1"/>
    <col min="15115" max="15115" width="24" style="1" customWidth="1"/>
    <col min="15116" max="15116" width="6.42578125" style="1" customWidth="1"/>
    <col min="15117" max="15118" width="3" style="1" customWidth="1"/>
    <col min="15119" max="15119" width="0" style="1" hidden="1" customWidth="1"/>
    <col min="15120" max="15120" width="3" style="1" bestFit="1" customWidth="1"/>
    <col min="15121" max="15121" width="23.140625" style="1" customWidth="1"/>
    <col min="15122" max="15122" width="7.5703125" style="1" customWidth="1"/>
    <col min="15123" max="15124" width="3.140625" style="1" customWidth="1"/>
    <col min="15125" max="15125" width="22.7109375" style="1" customWidth="1"/>
    <col min="15126" max="15126" width="8.140625" style="1" customWidth="1"/>
    <col min="15127" max="15127" width="3.5703125" style="1" customWidth="1"/>
    <col min="15128" max="15360" width="11.42578125" style="1"/>
    <col min="15361" max="15361" width="1.28515625" style="1" customWidth="1"/>
    <col min="15362" max="15362" width="26.42578125" style="1" customWidth="1"/>
    <col min="15363" max="15363" width="0" style="1" hidden="1" customWidth="1"/>
    <col min="15364" max="15364" width="7.28515625" style="1" customWidth="1"/>
    <col min="15365" max="15365" width="3.140625" style="1" customWidth="1"/>
    <col min="15366" max="15366" width="3.42578125" style="1" customWidth="1"/>
    <col min="15367" max="15367" width="24.28515625" style="1" customWidth="1"/>
    <col min="15368" max="15368" width="7.7109375" style="1" customWidth="1"/>
    <col min="15369" max="15369" width="3.85546875" style="1" customWidth="1"/>
    <col min="15370" max="15370" width="3" style="1" customWidth="1"/>
    <col min="15371" max="15371" width="24" style="1" customWidth="1"/>
    <col min="15372" max="15372" width="6.42578125" style="1" customWidth="1"/>
    <col min="15373" max="15374" width="3" style="1" customWidth="1"/>
    <col min="15375" max="15375" width="0" style="1" hidden="1" customWidth="1"/>
    <col min="15376" max="15376" width="3" style="1" bestFit="1" customWidth="1"/>
    <col min="15377" max="15377" width="23.140625" style="1" customWidth="1"/>
    <col min="15378" max="15378" width="7.5703125" style="1" customWidth="1"/>
    <col min="15379" max="15380" width="3.140625" style="1" customWidth="1"/>
    <col min="15381" max="15381" width="22.7109375" style="1" customWidth="1"/>
    <col min="15382" max="15382" width="8.140625" style="1" customWidth="1"/>
    <col min="15383" max="15383" width="3.5703125" style="1" customWidth="1"/>
    <col min="15384" max="15616" width="11.42578125" style="1"/>
    <col min="15617" max="15617" width="1.28515625" style="1" customWidth="1"/>
    <col min="15618" max="15618" width="26.42578125" style="1" customWidth="1"/>
    <col min="15619" max="15619" width="0" style="1" hidden="1" customWidth="1"/>
    <col min="15620" max="15620" width="7.28515625" style="1" customWidth="1"/>
    <col min="15621" max="15621" width="3.140625" style="1" customWidth="1"/>
    <col min="15622" max="15622" width="3.42578125" style="1" customWidth="1"/>
    <col min="15623" max="15623" width="24.28515625" style="1" customWidth="1"/>
    <col min="15624" max="15624" width="7.7109375" style="1" customWidth="1"/>
    <col min="15625" max="15625" width="3.85546875" style="1" customWidth="1"/>
    <col min="15626" max="15626" width="3" style="1" customWidth="1"/>
    <col min="15627" max="15627" width="24" style="1" customWidth="1"/>
    <col min="15628" max="15628" width="6.42578125" style="1" customWidth="1"/>
    <col min="15629" max="15630" width="3" style="1" customWidth="1"/>
    <col min="15631" max="15631" width="0" style="1" hidden="1" customWidth="1"/>
    <col min="15632" max="15632" width="3" style="1" bestFit="1" customWidth="1"/>
    <col min="15633" max="15633" width="23.140625" style="1" customWidth="1"/>
    <col min="15634" max="15634" width="7.5703125" style="1" customWidth="1"/>
    <col min="15635" max="15636" width="3.140625" style="1" customWidth="1"/>
    <col min="15637" max="15637" width="22.7109375" style="1" customWidth="1"/>
    <col min="15638" max="15638" width="8.140625" style="1" customWidth="1"/>
    <col min="15639" max="15639" width="3.5703125" style="1" customWidth="1"/>
    <col min="15640" max="15872" width="11.42578125" style="1"/>
    <col min="15873" max="15873" width="1.28515625" style="1" customWidth="1"/>
    <col min="15874" max="15874" width="26.42578125" style="1" customWidth="1"/>
    <col min="15875" max="15875" width="0" style="1" hidden="1" customWidth="1"/>
    <col min="15876" max="15876" width="7.28515625" style="1" customWidth="1"/>
    <col min="15877" max="15877" width="3.140625" style="1" customWidth="1"/>
    <col min="15878" max="15878" width="3.42578125" style="1" customWidth="1"/>
    <col min="15879" max="15879" width="24.28515625" style="1" customWidth="1"/>
    <col min="15880" max="15880" width="7.7109375" style="1" customWidth="1"/>
    <col min="15881" max="15881" width="3.85546875" style="1" customWidth="1"/>
    <col min="15882" max="15882" width="3" style="1" customWidth="1"/>
    <col min="15883" max="15883" width="24" style="1" customWidth="1"/>
    <col min="15884" max="15884" width="6.42578125" style="1" customWidth="1"/>
    <col min="15885" max="15886" width="3" style="1" customWidth="1"/>
    <col min="15887" max="15887" width="0" style="1" hidden="1" customWidth="1"/>
    <col min="15888" max="15888" width="3" style="1" bestFit="1" customWidth="1"/>
    <col min="15889" max="15889" width="23.140625" style="1" customWidth="1"/>
    <col min="15890" max="15890" width="7.5703125" style="1" customWidth="1"/>
    <col min="15891" max="15892" width="3.140625" style="1" customWidth="1"/>
    <col min="15893" max="15893" width="22.7109375" style="1" customWidth="1"/>
    <col min="15894" max="15894" width="8.140625" style="1" customWidth="1"/>
    <col min="15895" max="15895" width="3.5703125" style="1" customWidth="1"/>
    <col min="15896" max="16128" width="11.42578125" style="1"/>
    <col min="16129" max="16129" width="1.28515625" style="1" customWidth="1"/>
    <col min="16130" max="16130" width="26.42578125" style="1" customWidth="1"/>
    <col min="16131" max="16131" width="0" style="1" hidden="1" customWidth="1"/>
    <col min="16132" max="16132" width="7.28515625" style="1" customWidth="1"/>
    <col min="16133" max="16133" width="3.140625" style="1" customWidth="1"/>
    <col min="16134" max="16134" width="3.42578125" style="1" customWidth="1"/>
    <col min="16135" max="16135" width="24.28515625" style="1" customWidth="1"/>
    <col min="16136" max="16136" width="7.7109375" style="1" customWidth="1"/>
    <col min="16137" max="16137" width="3.85546875" style="1" customWidth="1"/>
    <col min="16138" max="16138" width="3" style="1" customWidth="1"/>
    <col min="16139" max="16139" width="24" style="1" customWidth="1"/>
    <col min="16140" max="16140" width="6.42578125" style="1" customWidth="1"/>
    <col min="16141" max="16142" width="3" style="1" customWidth="1"/>
    <col min="16143" max="16143" width="0" style="1" hidden="1" customWidth="1"/>
    <col min="16144" max="16144" width="3" style="1" bestFit="1" customWidth="1"/>
    <col min="16145" max="16145" width="23.140625" style="1" customWidth="1"/>
    <col min="16146" max="16146" width="7.5703125" style="1" customWidth="1"/>
    <col min="16147" max="16148" width="3.140625" style="1" customWidth="1"/>
    <col min="16149" max="16149" width="22.7109375" style="1" customWidth="1"/>
    <col min="16150" max="16150" width="8.140625" style="1" customWidth="1"/>
    <col min="16151" max="16151" width="3.5703125" style="1" customWidth="1"/>
    <col min="16152" max="16384" width="11.42578125" style="1"/>
  </cols>
  <sheetData>
    <row r="1" spans="1:23" ht="16.5" thickBot="1" x14ac:dyDescent="0.3">
      <c r="B1" s="2" t="s">
        <v>0</v>
      </c>
      <c r="C1" s="2"/>
      <c r="G1" s="2" t="s">
        <v>1</v>
      </c>
      <c r="H1" s="3"/>
      <c r="I1" s="3"/>
      <c r="J1" s="3"/>
      <c r="K1" s="4" t="s">
        <v>2</v>
      </c>
      <c r="L1" s="3"/>
      <c r="M1" s="3"/>
      <c r="N1" s="3"/>
      <c r="O1" s="3"/>
      <c r="P1" s="3"/>
      <c r="Q1" s="2" t="s">
        <v>3</v>
      </c>
      <c r="R1" s="3"/>
      <c r="S1" s="3"/>
      <c r="T1" s="3"/>
      <c r="U1" s="2" t="s">
        <v>4</v>
      </c>
    </row>
    <row r="2" spans="1:23" ht="13.5" thickBot="1" x14ac:dyDescent="0.25">
      <c r="A2" s="5"/>
      <c r="B2" s="6" t="s">
        <v>5</v>
      </c>
      <c r="C2" s="7">
        <f>D2</f>
        <v>5</v>
      </c>
      <c r="D2" s="8">
        <v>5</v>
      </c>
      <c r="E2" s="9" t="s">
        <v>6</v>
      </c>
      <c r="G2" s="6" t="s">
        <v>5</v>
      </c>
      <c r="H2" s="8"/>
      <c r="I2" s="9" t="s">
        <v>6</v>
      </c>
      <c r="K2" s="10" t="s">
        <v>7</v>
      </c>
      <c r="L2" s="8">
        <v>0.2</v>
      </c>
      <c r="M2" s="11" t="s">
        <v>8</v>
      </c>
      <c r="Q2" s="6" t="s">
        <v>7</v>
      </c>
      <c r="R2" s="8"/>
      <c r="S2" s="11" t="s">
        <v>8</v>
      </c>
      <c r="U2" s="6" t="s">
        <v>5</v>
      </c>
      <c r="V2" s="8"/>
      <c r="W2" s="9" t="s">
        <v>6</v>
      </c>
    </row>
    <row r="3" spans="1:23" ht="13.5" thickBot="1" x14ac:dyDescent="0.25">
      <c r="A3" s="5"/>
      <c r="B3" s="12" t="s">
        <v>7</v>
      </c>
      <c r="C3" s="7">
        <f t="shared" ref="C3:C8" si="0">D3</f>
        <v>0.2</v>
      </c>
      <c r="D3" s="13">
        <v>0.2</v>
      </c>
      <c r="E3" s="14" t="s">
        <v>8</v>
      </c>
      <c r="G3" s="12" t="s">
        <v>7</v>
      </c>
      <c r="H3" s="13">
        <v>0.35</v>
      </c>
      <c r="I3" s="14" t="s">
        <v>8</v>
      </c>
      <c r="K3" s="15" t="s">
        <v>9</v>
      </c>
      <c r="L3" s="13">
        <v>0.3</v>
      </c>
      <c r="M3" s="14" t="s">
        <v>8</v>
      </c>
      <c r="Q3" s="12" t="s">
        <v>9</v>
      </c>
      <c r="R3" s="13"/>
      <c r="S3" s="14" t="s">
        <v>8</v>
      </c>
      <c r="U3" s="12" t="s">
        <v>7</v>
      </c>
      <c r="V3" s="13"/>
      <c r="W3" s="14" t="s">
        <v>8</v>
      </c>
    </row>
    <row r="4" spans="1:23" ht="13.5" thickBot="1" x14ac:dyDescent="0.25">
      <c r="A4" s="5"/>
      <c r="B4" s="12" t="s">
        <v>9</v>
      </c>
      <c r="C4" s="7">
        <f t="shared" si="0"/>
        <v>0.2</v>
      </c>
      <c r="D4" s="13">
        <v>0.2</v>
      </c>
      <c r="E4" s="14" t="s">
        <v>8</v>
      </c>
      <c r="G4" s="12" t="s">
        <v>9</v>
      </c>
      <c r="H4" s="13">
        <v>0.35</v>
      </c>
      <c r="I4" s="14" t="s">
        <v>8</v>
      </c>
      <c r="K4" s="15" t="s">
        <v>10</v>
      </c>
      <c r="L4" s="13">
        <v>28</v>
      </c>
      <c r="M4" s="14" t="s">
        <v>8</v>
      </c>
      <c r="Q4" s="12" t="s">
        <v>10</v>
      </c>
      <c r="R4" s="13"/>
      <c r="S4" s="14" t="s">
        <v>8</v>
      </c>
      <c r="U4" s="12" t="s">
        <v>9</v>
      </c>
      <c r="V4" s="13"/>
      <c r="W4" s="14" t="s">
        <v>8</v>
      </c>
    </row>
    <row r="5" spans="1:23" ht="13.5" thickBot="1" x14ac:dyDescent="0.25">
      <c r="A5" s="5"/>
      <c r="B5" s="12" t="s">
        <v>11</v>
      </c>
      <c r="C5" s="7">
        <f t="shared" si="0"/>
        <v>2.4</v>
      </c>
      <c r="D5" s="13">
        <v>2.4</v>
      </c>
      <c r="E5" s="14" t="s">
        <v>8</v>
      </c>
      <c r="G5" s="12" t="s">
        <v>11</v>
      </c>
      <c r="H5" s="13">
        <v>0.8</v>
      </c>
      <c r="I5" s="14" t="s">
        <v>8</v>
      </c>
      <c r="K5" s="16" t="s">
        <v>12</v>
      </c>
      <c r="L5" s="17">
        <f>L2*L3</f>
        <v>0.06</v>
      </c>
      <c r="M5" s="18" t="s">
        <v>13</v>
      </c>
      <c r="Q5" s="19" t="s">
        <v>12</v>
      </c>
      <c r="R5" s="17">
        <f>R2*R3</f>
        <v>0</v>
      </c>
      <c r="S5" s="18" t="s">
        <v>13</v>
      </c>
      <c r="U5" s="12" t="s">
        <v>11</v>
      </c>
      <c r="V5" s="13"/>
      <c r="W5" s="14" t="s">
        <v>8</v>
      </c>
    </row>
    <row r="6" spans="1:23" ht="13.5" thickBot="1" x14ac:dyDescent="0.25">
      <c r="A6" s="5"/>
      <c r="B6" s="19" t="s">
        <v>12</v>
      </c>
      <c r="C6" s="7">
        <f t="shared" si="0"/>
        <v>4.0000000000000008E-2</v>
      </c>
      <c r="D6" s="20">
        <f>D3*D4</f>
        <v>4.0000000000000008E-2</v>
      </c>
      <c r="E6" s="18" t="s">
        <v>13</v>
      </c>
      <c r="G6" s="19" t="s">
        <v>12</v>
      </c>
      <c r="H6" s="17">
        <f>H3*H4</f>
        <v>0.12249999999999998</v>
      </c>
      <c r="I6" s="18" t="s">
        <v>13</v>
      </c>
      <c r="K6" s="16" t="s">
        <v>14</v>
      </c>
      <c r="L6" s="17">
        <f>L4*L5</f>
        <v>1.68</v>
      </c>
      <c r="M6" s="18" t="s">
        <v>15</v>
      </c>
      <c r="Q6" s="19" t="s">
        <v>14</v>
      </c>
      <c r="R6" s="17">
        <f>R4*R5</f>
        <v>0</v>
      </c>
      <c r="S6" s="18" t="s">
        <v>15</v>
      </c>
      <c r="U6" s="19" t="s">
        <v>12</v>
      </c>
      <c r="V6" s="17">
        <f>V3*V4</f>
        <v>0</v>
      </c>
      <c r="W6" s="18" t="s">
        <v>13</v>
      </c>
    </row>
    <row r="7" spans="1:23" ht="13.5" thickBot="1" x14ac:dyDescent="0.25">
      <c r="A7" s="5"/>
      <c r="B7" s="19" t="s">
        <v>14</v>
      </c>
      <c r="C7" s="7">
        <f t="shared" si="0"/>
        <v>9.6000000000000016E-2</v>
      </c>
      <c r="D7" s="20">
        <f>D5*D6</f>
        <v>9.6000000000000016E-2</v>
      </c>
      <c r="E7" s="18" t="s">
        <v>15</v>
      </c>
      <c r="G7" s="19" t="s">
        <v>14</v>
      </c>
      <c r="H7" s="17">
        <f>H5*H6</f>
        <v>9.799999999999999E-2</v>
      </c>
      <c r="I7" s="18" t="s">
        <v>15</v>
      </c>
      <c r="K7" s="19" t="s">
        <v>16</v>
      </c>
      <c r="L7" s="17">
        <f>((L2-0.06)*2)+((L3-0.06)*2)</f>
        <v>0.76</v>
      </c>
      <c r="M7" s="18" t="s">
        <v>8</v>
      </c>
      <c r="Q7" s="19" t="s">
        <v>16</v>
      </c>
      <c r="R7" s="17">
        <f>((R2-0.06)*2)+((R3-0.06)*2)</f>
        <v>-0.24</v>
      </c>
      <c r="S7" s="18" t="s">
        <v>8</v>
      </c>
      <c r="U7" s="19" t="s">
        <v>14</v>
      </c>
      <c r="V7" s="17">
        <f>V5*V6</f>
        <v>0</v>
      </c>
      <c r="W7" s="18" t="s">
        <v>15</v>
      </c>
    </row>
    <row r="8" spans="1:23" x14ac:dyDescent="0.2">
      <c r="A8" s="5"/>
      <c r="B8" s="19" t="s">
        <v>17</v>
      </c>
      <c r="C8" s="7">
        <f t="shared" si="0"/>
        <v>0.48000000000000009</v>
      </c>
      <c r="D8" s="20">
        <f>D2*D7</f>
        <v>0.48000000000000009</v>
      </c>
      <c r="E8" s="18" t="s">
        <v>15</v>
      </c>
      <c r="G8" s="19" t="s">
        <v>17</v>
      </c>
      <c r="H8" s="17">
        <f>H2*H7</f>
        <v>0</v>
      </c>
      <c r="I8" s="18" t="s">
        <v>15</v>
      </c>
      <c r="K8" s="19" t="s">
        <v>18</v>
      </c>
      <c r="L8" s="21">
        <f>L4/0.25</f>
        <v>112</v>
      </c>
      <c r="M8" s="18" t="s">
        <v>6</v>
      </c>
      <c r="Q8" s="19" t="s">
        <v>18</v>
      </c>
      <c r="R8" s="21">
        <f>R4/0.25</f>
        <v>0</v>
      </c>
      <c r="S8" s="18" t="s">
        <v>6</v>
      </c>
      <c r="U8" s="19" t="s">
        <v>17</v>
      </c>
      <c r="V8" s="17">
        <f>V2*V7</f>
        <v>0</v>
      </c>
      <c r="W8" s="18" t="s">
        <v>15</v>
      </c>
    </row>
    <row r="9" spans="1:23" x14ac:dyDescent="0.2">
      <c r="A9" s="5"/>
      <c r="B9" s="19" t="s">
        <v>16</v>
      </c>
      <c r="C9" s="22"/>
      <c r="D9" s="23">
        <f>((D3-0.06)*2)+((D4-0.06)*2)</f>
        <v>0.56000000000000005</v>
      </c>
      <c r="E9" s="18" t="s">
        <v>8</v>
      </c>
      <c r="G9" s="19" t="s">
        <v>16</v>
      </c>
      <c r="H9" s="24">
        <f>((H3-0.06)*2)+((H4-0.06)*2)</f>
        <v>1.1599999999999999</v>
      </c>
      <c r="I9" s="18" t="s">
        <v>8</v>
      </c>
      <c r="K9" s="19" t="s">
        <v>19</v>
      </c>
      <c r="L9" s="21">
        <f>L7*L8</f>
        <v>85.12</v>
      </c>
      <c r="M9" s="18" t="s">
        <v>8</v>
      </c>
      <c r="Q9" s="19" t="s">
        <v>19</v>
      </c>
      <c r="R9" s="21">
        <f>R7*R8</f>
        <v>0</v>
      </c>
      <c r="S9" s="18" t="s">
        <v>8</v>
      </c>
      <c r="U9" s="19" t="s">
        <v>20</v>
      </c>
      <c r="V9" s="17">
        <f>(V3-0.1)+0.15</f>
        <v>4.9999999999999989E-2</v>
      </c>
      <c r="W9" s="18" t="s">
        <v>8</v>
      </c>
    </row>
    <row r="10" spans="1:23" x14ac:dyDescent="0.2">
      <c r="A10" s="5"/>
      <c r="B10" s="19" t="s">
        <v>18</v>
      </c>
      <c r="C10" s="22"/>
      <c r="D10" s="23">
        <f>(D5/0.25)*D2</f>
        <v>48</v>
      </c>
      <c r="E10" s="18" t="s">
        <v>6</v>
      </c>
      <c r="G10" s="19" t="s">
        <v>18</v>
      </c>
      <c r="H10" s="24">
        <f>(H5/0.25)*H2</f>
        <v>0</v>
      </c>
      <c r="I10" s="18" t="s">
        <v>6</v>
      </c>
      <c r="K10" s="19" t="s">
        <v>20</v>
      </c>
      <c r="L10" s="21">
        <f>L4+0.4+(L2*2)+0.4</f>
        <v>29.199999999999996</v>
      </c>
      <c r="M10" s="25" t="s">
        <v>8</v>
      </c>
      <c r="Q10" s="19" t="s">
        <v>20</v>
      </c>
      <c r="R10" s="21">
        <f>R4+(R2*2)</f>
        <v>0</v>
      </c>
      <c r="S10" s="25" t="s">
        <v>8</v>
      </c>
      <c r="U10" s="12" t="s">
        <v>21</v>
      </c>
      <c r="V10" s="26">
        <v>8</v>
      </c>
      <c r="W10" s="14" t="s">
        <v>6</v>
      </c>
    </row>
    <row r="11" spans="1:23" x14ac:dyDescent="0.2">
      <c r="A11" s="5"/>
      <c r="B11" s="19" t="s">
        <v>19</v>
      </c>
      <c r="C11" s="22"/>
      <c r="D11" s="23">
        <f>D9*D10</f>
        <v>26.880000000000003</v>
      </c>
      <c r="E11" s="18" t="s">
        <v>8</v>
      </c>
      <c r="G11" s="19" t="s">
        <v>19</v>
      </c>
      <c r="H11" s="24">
        <f>H9*H10</f>
        <v>0</v>
      </c>
      <c r="I11" s="18" t="s">
        <v>8</v>
      </c>
      <c r="K11" s="12" t="s">
        <v>21</v>
      </c>
      <c r="L11" s="27">
        <v>4</v>
      </c>
      <c r="M11" s="28" t="s">
        <v>6</v>
      </c>
      <c r="Q11" s="12" t="s">
        <v>21</v>
      </c>
      <c r="R11" s="27">
        <v>4</v>
      </c>
      <c r="S11" s="28" t="s">
        <v>6</v>
      </c>
      <c r="U11" s="19" t="s">
        <v>22</v>
      </c>
      <c r="V11" s="17">
        <f>V9*V10*V2</f>
        <v>0</v>
      </c>
      <c r="W11" s="18" t="s">
        <v>8</v>
      </c>
    </row>
    <row r="12" spans="1:23" x14ac:dyDescent="0.2">
      <c r="A12" s="5"/>
      <c r="B12" s="19" t="s">
        <v>20</v>
      </c>
      <c r="C12" s="22"/>
      <c r="D12" s="23">
        <f>D5+H4+0.4+0.1</f>
        <v>3.25</v>
      </c>
      <c r="E12" s="25" t="s">
        <v>8</v>
      </c>
      <c r="G12" s="19" t="s">
        <v>20</v>
      </c>
      <c r="H12" s="24">
        <f>H5+R3+0.4+0.25+0.1</f>
        <v>1.5500000000000003</v>
      </c>
      <c r="I12" s="25" t="s">
        <v>8</v>
      </c>
      <c r="K12" s="19" t="s">
        <v>22</v>
      </c>
      <c r="L12" s="21">
        <f>L10*L11</f>
        <v>116.79999999999998</v>
      </c>
      <c r="M12" s="25" t="s">
        <v>8</v>
      </c>
      <c r="Q12" s="19" t="s">
        <v>22</v>
      </c>
      <c r="R12" s="21">
        <f>R10*R11</f>
        <v>0</v>
      </c>
      <c r="S12" s="25" t="s">
        <v>8</v>
      </c>
      <c r="U12" s="19" t="s">
        <v>23</v>
      </c>
      <c r="V12" s="23">
        <f>V7*1.03*8</f>
        <v>0</v>
      </c>
      <c r="W12" s="25" t="s">
        <v>6</v>
      </c>
    </row>
    <row r="13" spans="1:23" x14ac:dyDescent="0.2">
      <c r="A13" s="5"/>
      <c r="B13" s="12" t="s">
        <v>21</v>
      </c>
      <c r="C13" s="29"/>
      <c r="D13" s="27">
        <v>4</v>
      </c>
      <c r="E13" s="28" t="s">
        <v>6</v>
      </c>
      <c r="G13" s="12" t="s">
        <v>21</v>
      </c>
      <c r="H13" s="30">
        <v>4</v>
      </c>
      <c r="I13" s="28" t="s">
        <v>6</v>
      </c>
      <c r="K13" s="19" t="s">
        <v>23</v>
      </c>
      <c r="L13" s="17">
        <f>L6*1.03*8</f>
        <v>13.8432</v>
      </c>
      <c r="M13" s="25" t="s">
        <v>6</v>
      </c>
      <c r="Q13" s="19" t="s">
        <v>23</v>
      </c>
      <c r="R13" s="17">
        <f>R6*1.03*7</f>
        <v>0</v>
      </c>
      <c r="S13" s="25" t="s">
        <v>6</v>
      </c>
      <c r="U13" s="19" t="s">
        <v>24</v>
      </c>
      <c r="V13" s="23">
        <f>V7*1.03*0.53</f>
        <v>0</v>
      </c>
      <c r="W13" s="18" t="s">
        <v>15</v>
      </c>
    </row>
    <row r="14" spans="1:23" ht="13.5" thickBot="1" x14ac:dyDescent="0.25">
      <c r="A14" s="5"/>
      <c r="B14" s="31" t="s">
        <v>22</v>
      </c>
      <c r="C14" s="32"/>
      <c r="D14" s="33">
        <f>D12*D13*D2</f>
        <v>65</v>
      </c>
      <c r="E14" s="34" t="s">
        <v>8</v>
      </c>
      <c r="G14" s="19" t="s">
        <v>22</v>
      </c>
      <c r="H14" s="24">
        <f>H12*H13*H2</f>
        <v>0</v>
      </c>
      <c r="I14" s="25" t="s">
        <v>8</v>
      </c>
      <c r="K14" s="19" t="s">
        <v>24</v>
      </c>
      <c r="L14" s="17">
        <f>L6*1.03*0.53</f>
        <v>0.91711200000000004</v>
      </c>
      <c r="M14" s="18" t="s">
        <v>15</v>
      </c>
      <c r="Q14" s="19" t="s">
        <v>24</v>
      </c>
      <c r="R14" s="17">
        <f>R6*1.03*0.47</f>
        <v>0</v>
      </c>
      <c r="S14" s="18" t="s">
        <v>15</v>
      </c>
      <c r="U14" s="35" t="s">
        <v>25</v>
      </c>
      <c r="V14" s="36">
        <f>V7*1.03*0.74</f>
        <v>0</v>
      </c>
      <c r="W14" s="37" t="s">
        <v>15</v>
      </c>
    </row>
    <row r="15" spans="1:23" ht="13.5" thickBot="1" x14ac:dyDescent="0.25">
      <c r="A15" s="5"/>
      <c r="B15" s="31" t="s">
        <v>23</v>
      </c>
      <c r="C15" s="32">
        <f>C8*1.03*8</f>
        <v>3.9552000000000009</v>
      </c>
      <c r="D15" s="33">
        <f>D8*1.03*8</f>
        <v>3.9552000000000009</v>
      </c>
      <c r="E15" s="34" t="s">
        <v>6</v>
      </c>
      <c r="G15" s="19" t="s">
        <v>23</v>
      </c>
      <c r="H15" s="23">
        <f>H8*1.03*8</f>
        <v>0</v>
      </c>
      <c r="I15" s="25" t="s">
        <v>6</v>
      </c>
      <c r="K15" s="35" t="s">
        <v>25</v>
      </c>
      <c r="L15" s="38">
        <f>L6*1.03*0.74</f>
        <v>1.2804959999999999</v>
      </c>
      <c r="M15" s="37" t="s">
        <v>15</v>
      </c>
      <c r="Q15" s="35" t="s">
        <v>25</v>
      </c>
      <c r="R15" s="38">
        <f>R6*1.03*0.83</f>
        <v>0</v>
      </c>
      <c r="S15" s="37" t="s">
        <v>15</v>
      </c>
    </row>
    <row r="16" spans="1:23" x14ac:dyDescent="0.2">
      <c r="A16" s="5"/>
      <c r="B16" s="31" t="s">
        <v>24</v>
      </c>
      <c r="C16" s="32">
        <f>C8*1.03*0.53</f>
        <v>0.2620320000000001</v>
      </c>
      <c r="D16" s="33">
        <f>D8*1.03*0.53</f>
        <v>0.2620320000000001</v>
      </c>
      <c r="E16" s="18" t="s">
        <v>15</v>
      </c>
      <c r="G16" s="19" t="s">
        <v>24</v>
      </c>
      <c r="H16" s="23">
        <f>H8*1.03*0.53</f>
        <v>0</v>
      </c>
      <c r="I16" s="18" t="s">
        <v>15</v>
      </c>
    </row>
    <row r="17" spans="1:17" ht="13.5" thickBot="1" x14ac:dyDescent="0.25">
      <c r="A17" s="5"/>
      <c r="B17" s="35" t="s">
        <v>25</v>
      </c>
      <c r="C17" s="40">
        <f>C8*1.03*0.74</f>
        <v>0.36585600000000007</v>
      </c>
      <c r="D17" s="36">
        <f>D8*1.03*0.74</f>
        <v>0.36585600000000007</v>
      </c>
      <c r="E17" s="37" t="s">
        <v>15</v>
      </c>
      <c r="G17" s="35" t="s">
        <v>25</v>
      </c>
      <c r="H17" s="36">
        <f>H8*1.03*0.74</f>
        <v>0</v>
      </c>
      <c r="I17" s="37" t="s">
        <v>15</v>
      </c>
    </row>
    <row r="18" spans="1:17" x14ac:dyDescent="0.2">
      <c r="A18" s="5"/>
    </row>
    <row r="19" spans="1:17" x14ac:dyDescent="0.2">
      <c r="A19" s="5"/>
    </row>
    <row r="20" spans="1:17" x14ac:dyDescent="0.2">
      <c r="A20" s="5"/>
    </row>
    <row r="22" spans="1:17" x14ac:dyDescent="0.2">
      <c r="G22" s="41"/>
    </row>
    <row r="23" spans="1:17" ht="16.5" thickBot="1" x14ac:dyDescent="0.3">
      <c r="B23" s="2" t="s">
        <v>26</v>
      </c>
      <c r="C23" s="2"/>
    </row>
    <row r="24" spans="1:17" ht="18.75" x14ac:dyDescent="0.2">
      <c r="B24" s="6" t="s">
        <v>7</v>
      </c>
      <c r="C24" s="8">
        <f>D24</f>
        <v>2.9</v>
      </c>
      <c r="D24" s="42">
        <v>2.9</v>
      </c>
      <c r="E24" s="11" t="s">
        <v>8</v>
      </c>
      <c r="K24" s="43" t="s">
        <v>27</v>
      </c>
      <c r="L24" s="44">
        <f>L12+R12</f>
        <v>116.79999999999998</v>
      </c>
      <c r="M24" s="45" t="s">
        <v>8</v>
      </c>
      <c r="N24" s="46" t="s">
        <v>28</v>
      </c>
      <c r="O24" s="47">
        <f>L24/9</f>
        <v>12.977777777777776</v>
      </c>
      <c r="P24" s="48">
        <f>ROUNDUP(O24,0)</f>
        <v>13</v>
      </c>
      <c r="Q24" s="49" t="s">
        <v>29</v>
      </c>
    </row>
    <row r="25" spans="1:17" ht="18.75" x14ac:dyDescent="0.2">
      <c r="B25" s="12" t="s">
        <v>1196</v>
      </c>
      <c r="C25" s="13">
        <f t="shared" ref="C25:C30" si="1">D25</f>
        <v>12.4</v>
      </c>
      <c r="D25" s="50">
        <v>12.4</v>
      </c>
      <c r="E25" s="14" t="s">
        <v>8</v>
      </c>
      <c r="K25" s="51" t="s">
        <v>30</v>
      </c>
      <c r="L25" s="52">
        <f>H14+V11+(L12*0.4)+D14</f>
        <v>111.72</v>
      </c>
      <c r="M25" s="53" t="s">
        <v>8</v>
      </c>
      <c r="N25" s="54" t="s">
        <v>28</v>
      </c>
      <c r="O25" s="55">
        <f t="shared" ref="O25:O26" si="2">L25/9</f>
        <v>12.413333333333334</v>
      </c>
      <c r="P25" s="56">
        <f t="shared" ref="P25:P26" si="3">ROUNDUP(O25,0)</f>
        <v>13</v>
      </c>
      <c r="Q25" s="57" t="s">
        <v>29</v>
      </c>
    </row>
    <row r="26" spans="1:17" ht="19.5" thickBot="1" x14ac:dyDescent="0.25">
      <c r="B26" s="12" t="s">
        <v>11</v>
      </c>
      <c r="C26" s="13">
        <f t="shared" si="1"/>
        <v>0.1</v>
      </c>
      <c r="D26" s="50">
        <v>0.1</v>
      </c>
      <c r="E26" s="14" t="s">
        <v>8</v>
      </c>
      <c r="K26" s="58" t="s">
        <v>31</v>
      </c>
      <c r="L26" s="59">
        <f>D33</f>
        <v>290.08</v>
      </c>
      <c r="M26" s="60" t="s">
        <v>8</v>
      </c>
      <c r="N26" s="61" t="s">
        <v>28</v>
      </c>
      <c r="O26" s="62">
        <f t="shared" si="2"/>
        <v>32.231111111111112</v>
      </c>
      <c r="P26" s="63">
        <f t="shared" si="3"/>
        <v>33</v>
      </c>
      <c r="Q26" s="64" t="s">
        <v>29</v>
      </c>
    </row>
    <row r="27" spans="1:17" x14ac:dyDescent="0.2">
      <c r="B27" s="19" t="s">
        <v>12</v>
      </c>
      <c r="C27" s="13">
        <f t="shared" si="1"/>
        <v>35.96</v>
      </c>
      <c r="D27" s="17">
        <f>D24*D25</f>
        <v>35.96</v>
      </c>
      <c r="E27" s="18" t="s">
        <v>13</v>
      </c>
      <c r="K27" s="43" t="s">
        <v>32</v>
      </c>
      <c r="L27" s="65">
        <f>D8+H8+L6+V8+D28</f>
        <v>5.7560000000000002</v>
      </c>
      <c r="M27" s="66" t="s">
        <v>33</v>
      </c>
      <c r="N27" s="67"/>
      <c r="O27" s="67"/>
      <c r="P27" s="67"/>
      <c r="Q27" s="68"/>
    </row>
    <row r="28" spans="1:17" x14ac:dyDescent="0.2">
      <c r="B28" s="19" t="s">
        <v>14</v>
      </c>
      <c r="C28" s="13">
        <f t="shared" si="1"/>
        <v>3.5960000000000001</v>
      </c>
      <c r="D28" s="17">
        <f>D26*D27</f>
        <v>3.5960000000000001</v>
      </c>
      <c r="E28" s="25" t="s">
        <v>15</v>
      </c>
      <c r="K28" s="51" t="s">
        <v>34</v>
      </c>
      <c r="L28" s="69">
        <f>R6</f>
        <v>0</v>
      </c>
      <c r="M28" s="70" t="s">
        <v>33</v>
      </c>
      <c r="N28" s="71"/>
      <c r="O28" s="71"/>
      <c r="P28" s="71"/>
      <c r="Q28" s="72"/>
    </row>
    <row r="29" spans="1:17" x14ac:dyDescent="0.2">
      <c r="B29" s="19" t="s">
        <v>35</v>
      </c>
      <c r="C29" s="13">
        <f t="shared" si="1"/>
        <v>2.84</v>
      </c>
      <c r="D29" s="17">
        <f>D24-0.06</f>
        <v>2.84</v>
      </c>
      <c r="E29" s="25" t="s">
        <v>8</v>
      </c>
      <c r="K29" s="73" t="s">
        <v>36</v>
      </c>
      <c r="L29" s="69">
        <f>ROUNDUP(O29,0)</f>
        <v>48</v>
      </c>
      <c r="M29" s="74" t="s">
        <v>6</v>
      </c>
      <c r="N29" s="71"/>
      <c r="O29" s="75">
        <f>D15+H15+L13+R13+V12+D34</f>
        <v>47.42944</v>
      </c>
      <c r="P29" s="71"/>
      <c r="Q29" s="72"/>
    </row>
    <row r="30" spans="1:17" x14ac:dyDescent="0.2">
      <c r="B30" s="19" t="s">
        <v>37</v>
      </c>
      <c r="C30" s="13">
        <f t="shared" si="1"/>
        <v>12.34</v>
      </c>
      <c r="D30" s="17">
        <f>D25-0.06</f>
        <v>12.34</v>
      </c>
      <c r="E30" s="18" t="s">
        <v>8</v>
      </c>
      <c r="K30" s="73" t="s">
        <v>38</v>
      </c>
      <c r="L30" s="69">
        <f t="shared" ref="L30:L31" si="4">ROUNDUP(O30,0)</f>
        <v>4</v>
      </c>
      <c r="M30" s="74" t="s">
        <v>39</v>
      </c>
      <c r="N30" s="71"/>
      <c r="O30" s="75">
        <f t="shared" ref="O30:O31" si="5">D16+H16+L14+R14+V13+D35</f>
        <v>3.1422004000000001</v>
      </c>
      <c r="P30" s="71"/>
      <c r="Q30" s="72"/>
    </row>
    <row r="31" spans="1:17" ht="13.5" thickBot="1" x14ac:dyDescent="0.25">
      <c r="B31" s="19" t="s">
        <v>40</v>
      </c>
      <c r="C31" s="26">
        <f>C25/0.25</f>
        <v>49.6</v>
      </c>
      <c r="D31" s="76">
        <f>ROUNDUP(C31,0)</f>
        <v>50</v>
      </c>
      <c r="E31" s="25" t="s">
        <v>6</v>
      </c>
      <c r="K31" s="77" t="s">
        <v>41</v>
      </c>
      <c r="L31" s="78">
        <f t="shared" si="4"/>
        <v>5</v>
      </c>
      <c r="M31" s="79" t="s">
        <v>39</v>
      </c>
      <c r="N31" s="80"/>
      <c r="O31" s="81">
        <f t="shared" si="5"/>
        <v>4.3872232000000002</v>
      </c>
      <c r="P31" s="80"/>
      <c r="Q31" s="82"/>
    </row>
    <row r="32" spans="1:17" x14ac:dyDescent="0.2">
      <c r="B32" s="19" t="s">
        <v>42</v>
      </c>
      <c r="C32" s="26">
        <f>C24/0.25</f>
        <v>11.6</v>
      </c>
      <c r="D32" s="76">
        <f>ROUNDUP(C32,0)</f>
        <v>12</v>
      </c>
      <c r="E32" s="25" t="s">
        <v>6</v>
      </c>
    </row>
    <row r="33" spans="2:5" x14ac:dyDescent="0.2">
      <c r="B33" s="19" t="s">
        <v>22</v>
      </c>
      <c r="C33" s="83"/>
      <c r="D33" s="17">
        <f>(D29*D31)+(D30*D32)</f>
        <v>290.08</v>
      </c>
      <c r="E33" s="18" t="s">
        <v>8</v>
      </c>
    </row>
    <row r="34" spans="2:5" x14ac:dyDescent="0.2">
      <c r="B34" s="19" t="s">
        <v>23</v>
      </c>
      <c r="C34" s="83">
        <f>C28*1.03*8</f>
        <v>29.631040000000002</v>
      </c>
      <c r="D34" s="17">
        <f>D28*1.03*8</f>
        <v>29.631040000000002</v>
      </c>
      <c r="E34" s="25" t="s">
        <v>6</v>
      </c>
    </row>
    <row r="35" spans="2:5" x14ac:dyDescent="0.2">
      <c r="B35" s="19" t="s">
        <v>24</v>
      </c>
      <c r="C35" s="83">
        <f>C28*1.03*0.53</f>
        <v>1.9630564000000001</v>
      </c>
      <c r="D35" s="17">
        <f>D28*1.03*0.53</f>
        <v>1.9630564000000001</v>
      </c>
      <c r="E35" s="18" t="s">
        <v>15</v>
      </c>
    </row>
    <row r="36" spans="2:5" ht="13.5" thickBot="1" x14ac:dyDescent="0.25">
      <c r="B36" s="35" t="s">
        <v>25</v>
      </c>
      <c r="C36" s="84">
        <f>C28*1.03*0.74</f>
        <v>2.7408712000000004</v>
      </c>
      <c r="D36" s="38">
        <f>D28*1.03*0.74</f>
        <v>2.7408712000000004</v>
      </c>
      <c r="E36" s="37" t="s">
        <v>15</v>
      </c>
    </row>
  </sheetData>
  <pageMargins left="0.7" right="0.7" top="0.75" bottom="0.75" header="0.3" footer="0.3"/>
  <pageSetup paperSize="9" orientation="portrait" horizontalDpi="4294967292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B3:M16"/>
  <sheetViews>
    <sheetView workbookViewId="0">
      <selection activeCell="E18" sqref="E18"/>
    </sheetView>
  </sheetViews>
  <sheetFormatPr baseColWidth="10" defaultRowHeight="12.75" x14ac:dyDescent="0.2"/>
  <cols>
    <col min="1" max="1" width="5.7109375" style="1" customWidth="1"/>
    <col min="2" max="2" width="22.85546875" style="1" customWidth="1"/>
    <col min="3" max="3" width="13.42578125" style="1" customWidth="1"/>
    <col min="4" max="5" width="11.42578125" style="1"/>
    <col min="6" max="6" width="10.7109375" style="1" customWidth="1"/>
    <col min="7" max="7" width="8.28515625" style="1" customWidth="1"/>
    <col min="8" max="8" width="9" style="1" customWidth="1"/>
    <col min="9" max="9" width="9.42578125" style="1" customWidth="1"/>
    <col min="10" max="10" width="8.5703125" style="1" customWidth="1"/>
    <col min="11" max="11" width="10.42578125" style="1" customWidth="1"/>
    <col min="12" max="12" width="9.42578125" style="1" customWidth="1"/>
    <col min="13" max="256" width="11.42578125" style="1"/>
    <col min="257" max="257" width="5.7109375" style="1" customWidth="1"/>
    <col min="258" max="258" width="22.85546875" style="1" customWidth="1"/>
    <col min="259" max="259" width="13.42578125" style="1" customWidth="1"/>
    <col min="260" max="261" width="11.42578125" style="1"/>
    <col min="262" max="262" width="10.7109375" style="1" customWidth="1"/>
    <col min="263" max="263" width="8.28515625" style="1" customWidth="1"/>
    <col min="264" max="264" width="9" style="1" customWidth="1"/>
    <col min="265" max="265" width="9.42578125" style="1" customWidth="1"/>
    <col min="266" max="266" width="8.5703125" style="1" customWidth="1"/>
    <col min="267" max="267" width="10.42578125" style="1" customWidth="1"/>
    <col min="268" max="268" width="9.42578125" style="1" customWidth="1"/>
    <col min="269" max="512" width="11.42578125" style="1"/>
    <col min="513" max="513" width="5.7109375" style="1" customWidth="1"/>
    <col min="514" max="514" width="22.85546875" style="1" customWidth="1"/>
    <col min="515" max="515" width="13.42578125" style="1" customWidth="1"/>
    <col min="516" max="517" width="11.42578125" style="1"/>
    <col min="518" max="518" width="10.7109375" style="1" customWidth="1"/>
    <col min="519" max="519" width="8.28515625" style="1" customWidth="1"/>
    <col min="520" max="520" width="9" style="1" customWidth="1"/>
    <col min="521" max="521" width="9.42578125" style="1" customWidth="1"/>
    <col min="522" max="522" width="8.5703125" style="1" customWidth="1"/>
    <col min="523" max="523" width="10.42578125" style="1" customWidth="1"/>
    <col min="524" max="524" width="9.42578125" style="1" customWidth="1"/>
    <col min="525" max="768" width="11.42578125" style="1"/>
    <col min="769" max="769" width="5.7109375" style="1" customWidth="1"/>
    <col min="770" max="770" width="22.85546875" style="1" customWidth="1"/>
    <col min="771" max="771" width="13.42578125" style="1" customWidth="1"/>
    <col min="772" max="773" width="11.42578125" style="1"/>
    <col min="774" max="774" width="10.7109375" style="1" customWidth="1"/>
    <col min="775" max="775" width="8.28515625" style="1" customWidth="1"/>
    <col min="776" max="776" width="9" style="1" customWidth="1"/>
    <col min="777" max="777" width="9.42578125" style="1" customWidth="1"/>
    <col min="778" max="778" width="8.5703125" style="1" customWidth="1"/>
    <col min="779" max="779" width="10.42578125" style="1" customWidth="1"/>
    <col min="780" max="780" width="9.42578125" style="1" customWidth="1"/>
    <col min="781" max="1024" width="11.42578125" style="1"/>
    <col min="1025" max="1025" width="5.7109375" style="1" customWidth="1"/>
    <col min="1026" max="1026" width="22.85546875" style="1" customWidth="1"/>
    <col min="1027" max="1027" width="13.42578125" style="1" customWidth="1"/>
    <col min="1028" max="1029" width="11.42578125" style="1"/>
    <col min="1030" max="1030" width="10.7109375" style="1" customWidth="1"/>
    <col min="1031" max="1031" width="8.28515625" style="1" customWidth="1"/>
    <col min="1032" max="1032" width="9" style="1" customWidth="1"/>
    <col min="1033" max="1033" width="9.42578125" style="1" customWidth="1"/>
    <col min="1034" max="1034" width="8.5703125" style="1" customWidth="1"/>
    <col min="1035" max="1035" width="10.42578125" style="1" customWidth="1"/>
    <col min="1036" max="1036" width="9.42578125" style="1" customWidth="1"/>
    <col min="1037" max="1280" width="11.42578125" style="1"/>
    <col min="1281" max="1281" width="5.7109375" style="1" customWidth="1"/>
    <col min="1282" max="1282" width="22.85546875" style="1" customWidth="1"/>
    <col min="1283" max="1283" width="13.42578125" style="1" customWidth="1"/>
    <col min="1284" max="1285" width="11.42578125" style="1"/>
    <col min="1286" max="1286" width="10.7109375" style="1" customWidth="1"/>
    <col min="1287" max="1287" width="8.28515625" style="1" customWidth="1"/>
    <col min="1288" max="1288" width="9" style="1" customWidth="1"/>
    <col min="1289" max="1289" width="9.42578125" style="1" customWidth="1"/>
    <col min="1290" max="1290" width="8.5703125" style="1" customWidth="1"/>
    <col min="1291" max="1291" width="10.42578125" style="1" customWidth="1"/>
    <col min="1292" max="1292" width="9.42578125" style="1" customWidth="1"/>
    <col min="1293" max="1536" width="11.42578125" style="1"/>
    <col min="1537" max="1537" width="5.7109375" style="1" customWidth="1"/>
    <col min="1538" max="1538" width="22.85546875" style="1" customWidth="1"/>
    <col min="1539" max="1539" width="13.42578125" style="1" customWidth="1"/>
    <col min="1540" max="1541" width="11.42578125" style="1"/>
    <col min="1542" max="1542" width="10.7109375" style="1" customWidth="1"/>
    <col min="1543" max="1543" width="8.28515625" style="1" customWidth="1"/>
    <col min="1544" max="1544" width="9" style="1" customWidth="1"/>
    <col min="1545" max="1545" width="9.42578125" style="1" customWidth="1"/>
    <col min="1546" max="1546" width="8.5703125" style="1" customWidth="1"/>
    <col min="1547" max="1547" width="10.42578125" style="1" customWidth="1"/>
    <col min="1548" max="1548" width="9.42578125" style="1" customWidth="1"/>
    <col min="1549" max="1792" width="11.42578125" style="1"/>
    <col min="1793" max="1793" width="5.7109375" style="1" customWidth="1"/>
    <col min="1794" max="1794" width="22.85546875" style="1" customWidth="1"/>
    <col min="1795" max="1795" width="13.42578125" style="1" customWidth="1"/>
    <col min="1796" max="1797" width="11.42578125" style="1"/>
    <col min="1798" max="1798" width="10.7109375" style="1" customWidth="1"/>
    <col min="1799" max="1799" width="8.28515625" style="1" customWidth="1"/>
    <col min="1800" max="1800" width="9" style="1" customWidth="1"/>
    <col min="1801" max="1801" width="9.42578125" style="1" customWidth="1"/>
    <col min="1802" max="1802" width="8.5703125" style="1" customWidth="1"/>
    <col min="1803" max="1803" width="10.42578125" style="1" customWidth="1"/>
    <col min="1804" max="1804" width="9.42578125" style="1" customWidth="1"/>
    <col min="1805" max="2048" width="11.42578125" style="1"/>
    <col min="2049" max="2049" width="5.7109375" style="1" customWidth="1"/>
    <col min="2050" max="2050" width="22.85546875" style="1" customWidth="1"/>
    <col min="2051" max="2051" width="13.42578125" style="1" customWidth="1"/>
    <col min="2052" max="2053" width="11.42578125" style="1"/>
    <col min="2054" max="2054" width="10.7109375" style="1" customWidth="1"/>
    <col min="2055" max="2055" width="8.28515625" style="1" customWidth="1"/>
    <col min="2056" max="2056" width="9" style="1" customWidth="1"/>
    <col min="2057" max="2057" width="9.42578125" style="1" customWidth="1"/>
    <col min="2058" max="2058" width="8.5703125" style="1" customWidth="1"/>
    <col min="2059" max="2059" width="10.42578125" style="1" customWidth="1"/>
    <col min="2060" max="2060" width="9.42578125" style="1" customWidth="1"/>
    <col min="2061" max="2304" width="11.42578125" style="1"/>
    <col min="2305" max="2305" width="5.7109375" style="1" customWidth="1"/>
    <col min="2306" max="2306" width="22.85546875" style="1" customWidth="1"/>
    <col min="2307" max="2307" width="13.42578125" style="1" customWidth="1"/>
    <col min="2308" max="2309" width="11.42578125" style="1"/>
    <col min="2310" max="2310" width="10.7109375" style="1" customWidth="1"/>
    <col min="2311" max="2311" width="8.28515625" style="1" customWidth="1"/>
    <col min="2312" max="2312" width="9" style="1" customWidth="1"/>
    <col min="2313" max="2313" width="9.42578125" style="1" customWidth="1"/>
    <col min="2314" max="2314" width="8.5703125" style="1" customWidth="1"/>
    <col min="2315" max="2315" width="10.42578125" style="1" customWidth="1"/>
    <col min="2316" max="2316" width="9.42578125" style="1" customWidth="1"/>
    <col min="2317" max="2560" width="11.42578125" style="1"/>
    <col min="2561" max="2561" width="5.7109375" style="1" customWidth="1"/>
    <col min="2562" max="2562" width="22.85546875" style="1" customWidth="1"/>
    <col min="2563" max="2563" width="13.42578125" style="1" customWidth="1"/>
    <col min="2564" max="2565" width="11.42578125" style="1"/>
    <col min="2566" max="2566" width="10.7109375" style="1" customWidth="1"/>
    <col min="2567" max="2567" width="8.28515625" style="1" customWidth="1"/>
    <col min="2568" max="2568" width="9" style="1" customWidth="1"/>
    <col min="2569" max="2569" width="9.42578125" style="1" customWidth="1"/>
    <col min="2570" max="2570" width="8.5703125" style="1" customWidth="1"/>
    <col min="2571" max="2571" width="10.42578125" style="1" customWidth="1"/>
    <col min="2572" max="2572" width="9.42578125" style="1" customWidth="1"/>
    <col min="2573" max="2816" width="11.42578125" style="1"/>
    <col min="2817" max="2817" width="5.7109375" style="1" customWidth="1"/>
    <col min="2818" max="2818" width="22.85546875" style="1" customWidth="1"/>
    <col min="2819" max="2819" width="13.42578125" style="1" customWidth="1"/>
    <col min="2820" max="2821" width="11.42578125" style="1"/>
    <col min="2822" max="2822" width="10.7109375" style="1" customWidth="1"/>
    <col min="2823" max="2823" width="8.28515625" style="1" customWidth="1"/>
    <col min="2824" max="2824" width="9" style="1" customWidth="1"/>
    <col min="2825" max="2825" width="9.42578125" style="1" customWidth="1"/>
    <col min="2826" max="2826" width="8.5703125" style="1" customWidth="1"/>
    <col min="2827" max="2827" width="10.42578125" style="1" customWidth="1"/>
    <col min="2828" max="2828" width="9.42578125" style="1" customWidth="1"/>
    <col min="2829" max="3072" width="11.42578125" style="1"/>
    <col min="3073" max="3073" width="5.7109375" style="1" customWidth="1"/>
    <col min="3074" max="3074" width="22.85546875" style="1" customWidth="1"/>
    <col min="3075" max="3075" width="13.42578125" style="1" customWidth="1"/>
    <col min="3076" max="3077" width="11.42578125" style="1"/>
    <col min="3078" max="3078" width="10.7109375" style="1" customWidth="1"/>
    <col min="3079" max="3079" width="8.28515625" style="1" customWidth="1"/>
    <col min="3080" max="3080" width="9" style="1" customWidth="1"/>
    <col min="3081" max="3081" width="9.42578125" style="1" customWidth="1"/>
    <col min="3082" max="3082" width="8.5703125" style="1" customWidth="1"/>
    <col min="3083" max="3083" width="10.42578125" style="1" customWidth="1"/>
    <col min="3084" max="3084" width="9.42578125" style="1" customWidth="1"/>
    <col min="3085" max="3328" width="11.42578125" style="1"/>
    <col min="3329" max="3329" width="5.7109375" style="1" customWidth="1"/>
    <col min="3330" max="3330" width="22.85546875" style="1" customWidth="1"/>
    <col min="3331" max="3331" width="13.42578125" style="1" customWidth="1"/>
    <col min="3332" max="3333" width="11.42578125" style="1"/>
    <col min="3334" max="3334" width="10.7109375" style="1" customWidth="1"/>
    <col min="3335" max="3335" width="8.28515625" style="1" customWidth="1"/>
    <col min="3336" max="3336" width="9" style="1" customWidth="1"/>
    <col min="3337" max="3337" width="9.42578125" style="1" customWidth="1"/>
    <col min="3338" max="3338" width="8.5703125" style="1" customWidth="1"/>
    <col min="3339" max="3339" width="10.42578125" style="1" customWidth="1"/>
    <col min="3340" max="3340" width="9.42578125" style="1" customWidth="1"/>
    <col min="3341" max="3584" width="11.42578125" style="1"/>
    <col min="3585" max="3585" width="5.7109375" style="1" customWidth="1"/>
    <col min="3586" max="3586" width="22.85546875" style="1" customWidth="1"/>
    <col min="3587" max="3587" width="13.42578125" style="1" customWidth="1"/>
    <col min="3588" max="3589" width="11.42578125" style="1"/>
    <col min="3590" max="3590" width="10.7109375" style="1" customWidth="1"/>
    <col min="3591" max="3591" width="8.28515625" style="1" customWidth="1"/>
    <col min="3592" max="3592" width="9" style="1" customWidth="1"/>
    <col min="3593" max="3593" width="9.42578125" style="1" customWidth="1"/>
    <col min="3594" max="3594" width="8.5703125" style="1" customWidth="1"/>
    <col min="3595" max="3595" width="10.42578125" style="1" customWidth="1"/>
    <col min="3596" max="3596" width="9.42578125" style="1" customWidth="1"/>
    <col min="3597" max="3840" width="11.42578125" style="1"/>
    <col min="3841" max="3841" width="5.7109375" style="1" customWidth="1"/>
    <col min="3842" max="3842" width="22.85546875" style="1" customWidth="1"/>
    <col min="3843" max="3843" width="13.42578125" style="1" customWidth="1"/>
    <col min="3844" max="3845" width="11.42578125" style="1"/>
    <col min="3846" max="3846" width="10.7109375" style="1" customWidth="1"/>
    <col min="3847" max="3847" width="8.28515625" style="1" customWidth="1"/>
    <col min="3848" max="3848" width="9" style="1" customWidth="1"/>
    <col min="3849" max="3849" width="9.42578125" style="1" customWidth="1"/>
    <col min="3850" max="3850" width="8.5703125" style="1" customWidth="1"/>
    <col min="3851" max="3851" width="10.42578125" style="1" customWidth="1"/>
    <col min="3852" max="3852" width="9.42578125" style="1" customWidth="1"/>
    <col min="3853" max="4096" width="11.42578125" style="1"/>
    <col min="4097" max="4097" width="5.7109375" style="1" customWidth="1"/>
    <col min="4098" max="4098" width="22.85546875" style="1" customWidth="1"/>
    <col min="4099" max="4099" width="13.42578125" style="1" customWidth="1"/>
    <col min="4100" max="4101" width="11.42578125" style="1"/>
    <col min="4102" max="4102" width="10.7109375" style="1" customWidth="1"/>
    <col min="4103" max="4103" width="8.28515625" style="1" customWidth="1"/>
    <col min="4104" max="4104" width="9" style="1" customWidth="1"/>
    <col min="4105" max="4105" width="9.42578125" style="1" customWidth="1"/>
    <col min="4106" max="4106" width="8.5703125" style="1" customWidth="1"/>
    <col min="4107" max="4107" width="10.42578125" style="1" customWidth="1"/>
    <col min="4108" max="4108" width="9.42578125" style="1" customWidth="1"/>
    <col min="4109" max="4352" width="11.42578125" style="1"/>
    <col min="4353" max="4353" width="5.7109375" style="1" customWidth="1"/>
    <col min="4354" max="4354" width="22.85546875" style="1" customWidth="1"/>
    <col min="4355" max="4355" width="13.42578125" style="1" customWidth="1"/>
    <col min="4356" max="4357" width="11.42578125" style="1"/>
    <col min="4358" max="4358" width="10.7109375" style="1" customWidth="1"/>
    <col min="4359" max="4359" width="8.28515625" style="1" customWidth="1"/>
    <col min="4360" max="4360" width="9" style="1" customWidth="1"/>
    <col min="4361" max="4361" width="9.42578125" style="1" customWidth="1"/>
    <col min="4362" max="4362" width="8.5703125" style="1" customWidth="1"/>
    <col min="4363" max="4363" width="10.42578125" style="1" customWidth="1"/>
    <col min="4364" max="4364" width="9.42578125" style="1" customWidth="1"/>
    <col min="4365" max="4608" width="11.42578125" style="1"/>
    <col min="4609" max="4609" width="5.7109375" style="1" customWidth="1"/>
    <col min="4610" max="4610" width="22.85546875" style="1" customWidth="1"/>
    <col min="4611" max="4611" width="13.42578125" style="1" customWidth="1"/>
    <col min="4612" max="4613" width="11.42578125" style="1"/>
    <col min="4614" max="4614" width="10.7109375" style="1" customWidth="1"/>
    <col min="4615" max="4615" width="8.28515625" style="1" customWidth="1"/>
    <col min="4616" max="4616" width="9" style="1" customWidth="1"/>
    <col min="4617" max="4617" width="9.42578125" style="1" customWidth="1"/>
    <col min="4618" max="4618" width="8.5703125" style="1" customWidth="1"/>
    <col min="4619" max="4619" width="10.42578125" style="1" customWidth="1"/>
    <col min="4620" max="4620" width="9.42578125" style="1" customWidth="1"/>
    <col min="4621" max="4864" width="11.42578125" style="1"/>
    <col min="4865" max="4865" width="5.7109375" style="1" customWidth="1"/>
    <col min="4866" max="4866" width="22.85546875" style="1" customWidth="1"/>
    <col min="4867" max="4867" width="13.42578125" style="1" customWidth="1"/>
    <col min="4868" max="4869" width="11.42578125" style="1"/>
    <col min="4870" max="4870" width="10.7109375" style="1" customWidth="1"/>
    <col min="4871" max="4871" width="8.28515625" style="1" customWidth="1"/>
    <col min="4872" max="4872" width="9" style="1" customWidth="1"/>
    <col min="4873" max="4873" width="9.42578125" style="1" customWidth="1"/>
    <col min="4874" max="4874" width="8.5703125" style="1" customWidth="1"/>
    <col min="4875" max="4875" width="10.42578125" style="1" customWidth="1"/>
    <col min="4876" max="4876" width="9.42578125" style="1" customWidth="1"/>
    <col min="4877" max="5120" width="11.42578125" style="1"/>
    <col min="5121" max="5121" width="5.7109375" style="1" customWidth="1"/>
    <col min="5122" max="5122" width="22.85546875" style="1" customWidth="1"/>
    <col min="5123" max="5123" width="13.42578125" style="1" customWidth="1"/>
    <col min="5124" max="5125" width="11.42578125" style="1"/>
    <col min="5126" max="5126" width="10.7109375" style="1" customWidth="1"/>
    <col min="5127" max="5127" width="8.28515625" style="1" customWidth="1"/>
    <col min="5128" max="5128" width="9" style="1" customWidth="1"/>
    <col min="5129" max="5129" width="9.42578125" style="1" customWidth="1"/>
    <col min="5130" max="5130" width="8.5703125" style="1" customWidth="1"/>
    <col min="5131" max="5131" width="10.42578125" style="1" customWidth="1"/>
    <col min="5132" max="5132" width="9.42578125" style="1" customWidth="1"/>
    <col min="5133" max="5376" width="11.42578125" style="1"/>
    <col min="5377" max="5377" width="5.7109375" style="1" customWidth="1"/>
    <col min="5378" max="5378" width="22.85546875" style="1" customWidth="1"/>
    <col min="5379" max="5379" width="13.42578125" style="1" customWidth="1"/>
    <col min="5380" max="5381" width="11.42578125" style="1"/>
    <col min="5382" max="5382" width="10.7109375" style="1" customWidth="1"/>
    <col min="5383" max="5383" width="8.28515625" style="1" customWidth="1"/>
    <col min="5384" max="5384" width="9" style="1" customWidth="1"/>
    <col min="5385" max="5385" width="9.42578125" style="1" customWidth="1"/>
    <col min="5386" max="5386" width="8.5703125" style="1" customWidth="1"/>
    <col min="5387" max="5387" width="10.42578125" style="1" customWidth="1"/>
    <col min="5388" max="5388" width="9.42578125" style="1" customWidth="1"/>
    <col min="5389" max="5632" width="11.42578125" style="1"/>
    <col min="5633" max="5633" width="5.7109375" style="1" customWidth="1"/>
    <col min="5634" max="5634" width="22.85546875" style="1" customWidth="1"/>
    <col min="5635" max="5635" width="13.42578125" style="1" customWidth="1"/>
    <col min="5636" max="5637" width="11.42578125" style="1"/>
    <col min="5638" max="5638" width="10.7109375" style="1" customWidth="1"/>
    <col min="5639" max="5639" width="8.28515625" style="1" customWidth="1"/>
    <col min="5640" max="5640" width="9" style="1" customWidth="1"/>
    <col min="5641" max="5641" width="9.42578125" style="1" customWidth="1"/>
    <col min="5642" max="5642" width="8.5703125" style="1" customWidth="1"/>
    <col min="5643" max="5643" width="10.42578125" style="1" customWidth="1"/>
    <col min="5644" max="5644" width="9.42578125" style="1" customWidth="1"/>
    <col min="5645" max="5888" width="11.42578125" style="1"/>
    <col min="5889" max="5889" width="5.7109375" style="1" customWidth="1"/>
    <col min="5890" max="5890" width="22.85546875" style="1" customWidth="1"/>
    <col min="5891" max="5891" width="13.42578125" style="1" customWidth="1"/>
    <col min="5892" max="5893" width="11.42578125" style="1"/>
    <col min="5894" max="5894" width="10.7109375" style="1" customWidth="1"/>
    <col min="5895" max="5895" width="8.28515625" style="1" customWidth="1"/>
    <col min="5896" max="5896" width="9" style="1" customWidth="1"/>
    <col min="5897" max="5897" width="9.42578125" style="1" customWidth="1"/>
    <col min="5898" max="5898" width="8.5703125" style="1" customWidth="1"/>
    <col min="5899" max="5899" width="10.42578125" style="1" customWidth="1"/>
    <col min="5900" max="5900" width="9.42578125" style="1" customWidth="1"/>
    <col min="5901" max="6144" width="11.42578125" style="1"/>
    <col min="6145" max="6145" width="5.7109375" style="1" customWidth="1"/>
    <col min="6146" max="6146" width="22.85546875" style="1" customWidth="1"/>
    <col min="6147" max="6147" width="13.42578125" style="1" customWidth="1"/>
    <col min="6148" max="6149" width="11.42578125" style="1"/>
    <col min="6150" max="6150" width="10.7109375" style="1" customWidth="1"/>
    <col min="6151" max="6151" width="8.28515625" style="1" customWidth="1"/>
    <col min="6152" max="6152" width="9" style="1" customWidth="1"/>
    <col min="6153" max="6153" width="9.42578125" style="1" customWidth="1"/>
    <col min="6154" max="6154" width="8.5703125" style="1" customWidth="1"/>
    <col min="6155" max="6155" width="10.42578125" style="1" customWidth="1"/>
    <col min="6156" max="6156" width="9.42578125" style="1" customWidth="1"/>
    <col min="6157" max="6400" width="11.42578125" style="1"/>
    <col min="6401" max="6401" width="5.7109375" style="1" customWidth="1"/>
    <col min="6402" max="6402" width="22.85546875" style="1" customWidth="1"/>
    <col min="6403" max="6403" width="13.42578125" style="1" customWidth="1"/>
    <col min="6404" max="6405" width="11.42578125" style="1"/>
    <col min="6406" max="6406" width="10.7109375" style="1" customWidth="1"/>
    <col min="6407" max="6407" width="8.28515625" style="1" customWidth="1"/>
    <col min="6408" max="6408" width="9" style="1" customWidth="1"/>
    <col min="6409" max="6409" width="9.42578125" style="1" customWidth="1"/>
    <col min="6410" max="6410" width="8.5703125" style="1" customWidth="1"/>
    <col min="6411" max="6411" width="10.42578125" style="1" customWidth="1"/>
    <col min="6412" max="6412" width="9.42578125" style="1" customWidth="1"/>
    <col min="6413" max="6656" width="11.42578125" style="1"/>
    <col min="6657" max="6657" width="5.7109375" style="1" customWidth="1"/>
    <col min="6658" max="6658" width="22.85546875" style="1" customWidth="1"/>
    <col min="6659" max="6659" width="13.42578125" style="1" customWidth="1"/>
    <col min="6660" max="6661" width="11.42578125" style="1"/>
    <col min="6662" max="6662" width="10.7109375" style="1" customWidth="1"/>
    <col min="6663" max="6663" width="8.28515625" style="1" customWidth="1"/>
    <col min="6664" max="6664" width="9" style="1" customWidth="1"/>
    <col min="6665" max="6665" width="9.42578125" style="1" customWidth="1"/>
    <col min="6666" max="6666" width="8.5703125" style="1" customWidth="1"/>
    <col min="6667" max="6667" width="10.42578125" style="1" customWidth="1"/>
    <col min="6668" max="6668" width="9.42578125" style="1" customWidth="1"/>
    <col min="6669" max="6912" width="11.42578125" style="1"/>
    <col min="6913" max="6913" width="5.7109375" style="1" customWidth="1"/>
    <col min="6914" max="6914" width="22.85546875" style="1" customWidth="1"/>
    <col min="6915" max="6915" width="13.42578125" style="1" customWidth="1"/>
    <col min="6916" max="6917" width="11.42578125" style="1"/>
    <col min="6918" max="6918" width="10.7109375" style="1" customWidth="1"/>
    <col min="6919" max="6919" width="8.28515625" style="1" customWidth="1"/>
    <col min="6920" max="6920" width="9" style="1" customWidth="1"/>
    <col min="6921" max="6921" width="9.42578125" style="1" customWidth="1"/>
    <col min="6922" max="6922" width="8.5703125" style="1" customWidth="1"/>
    <col min="6923" max="6923" width="10.42578125" style="1" customWidth="1"/>
    <col min="6924" max="6924" width="9.42578125" style="1" customWidth="1"/>
    <col min="6925" max="7168" width="11.42578125" style="1"/>
    <col min="7169" max="7169" width="5.7109375" style="1" customWidth="1"/>
    <col min="7170" max="7170" width="22.85546875" style="1" customWidth="1"/>
    <col min="7171" max="7171" width="13.42578125" style="1" customWidth="1"/>
    <col min="7172" max="7173" width="11.42578125" style="1"/>
    <col min="7174" max="7174" width="10.7109375" style="1" customWidth="1"/>
    <col min="7175" max="7175" width="8.28515625" style="1" customWidth="1"/>
    <col min="7176" max="7176" width="9" style="1" customWidth="1"/>
    <col min="7177" max="7177" width="9.42578125" style="1" customWidth="1"/>
    <col min="7178" max="7178" width="8.5703125" style="1" customWidth="1"/>
    <col min="7179" max="7179" width="10.42578125" style="1" customWidth="1"/>
    <col min="7180" max="7180" width="9.42578125" style="1" customWidth="1"/>
    <col min="7181" max="7424" width="11.42578125" style="1"/>
    <col min="7425" max="7425" width="5.7109375" style="1" customWidth="1"/>
    <col min="7426" max="7426" width="22.85546875" style="1" customWidth="1"/>
    <col min="7427" max="7427" width="13.42578125" style="1" customWidth="1"/>
    <col min="7428" max="7429" width="11.42578125" style="1"/>
    <col min="7430" max="7430" width="10.7109375" style="1" customWidth="1"/>
    <col min="7431" max="7431" width="8.28515625" style="1" customWidth="1"/>
    <col min="7432" max="7432" width="9" style="1" customWidth="1"/>
    <col min="7433" max="7433" width="9.42578125" style="1" customWidth="1"/>
    <col min="7434" max="7434" width="8.5703125" style="1" customWidth="1"/>
    <col min="7435" max="7435" width="10.42578125" style="1" customWidth="1"/>
    <col min="7436" max="7436" width="9.42578125" style="1" customWidth="1"/>
    <col min="7437" max="7680" width="11.42578125" style="1"/>
    <col min="7681" max="7681" width="5.7109375" style="1" customWidth="1"/>
    <col min="7682" max="7682" width="22.85546875" style="1" customWidth="1"/>
    <col min="7683" max="7683" width="13.42578125" style="1" customWidth="1"/>
    <col min="7684" max="7685" width="11.42578125" style="1"/>
    <col min="7686" max="7686" width="10.7109375" style="1" customWidth="1"/>
    <col min="7687" max="7687" width="8.28515625" style="1" customWidth="1"/>
    <col min="7688" max="7688" width="9" style="1" customWidth="1"/>
    <col min="7689" max="7689" width="9.42578125" style="1" customWidth="1"/>
    <col min="7690" max="7690" width="8.5703125" style="1" customWidth="1"/>
    <col min="7691" max="7691" width="10.42578125" style="1" customWidth="1"/>
    <col min="7692" max="7692" width="9.42578125" style="1" customWidth="1"/>
    <col min="7693" max="7936" width="11.42578125" style="1"/>
    <col min="7937" max="7937" width="5.7109375" style="1" customWidth="1"/>
    <col min="7938" max="7938" width="22.85546875" style="1" customWidth="1"/>
    <col min="7939" max="7939" width="13.42578125" style="1" customWidth="1"/>
    <col min="7940" max="7941" width="11.42578125" style="1"/>
    <col min="7942" max="7942" width="10.7109375" style="1" customWidth="1"/>
    <col min="7943" max="7943" width="8.28515625" style="1" customWidth="1"/>
    <col min="7944" max="7944" width="9" style="1" customWidth="1"/>
    <col min="7945" max="7945" width="9.42578125" style="1" customWidth="1"/>
    <col min="7946" max="7946" width="8.5703125" style="1" customWidth="1"/>
    <col min="7947" max="7947" width="10.42578125" style="1" customWidth="1"/>
    <col min="7948" max="7948" width="9.42578125" style="1" customWidth="1"/>
    <col min="7949" max="8192" width="11.42578125" style="1"/>
    <col min="8193" max="8193" width="5.7109375" style="1" customWidth="1"/>
    <col min="8194" max="8194" width="22.85546875" style="1" customWidth="1"/>
    <col min="8195" max="8195" width="13.42578125" style="1" customWidth="1"/>
    <col min="8196" max="8197" width="11.42578125" style="1"/>
    <col min="8198" max="8198" width="10.7109375" style="1" customWidth="1"/>
    <col min="8199" max="8199" width="8.28515625" style="1" customWidth="1"/>
    <col min="8200" max="8200" width="9" style="1" customWidth="1"/>
    <col min="8201" max="8201" width="9.42578125" style="1" customWidth="1"/>
    <col min="8202" max="8202" width="8.5703125" style="1" customWidth="1"/>
    <col min="8203" max="8203" width="10.42578125" style="1" customWidth="1"/>
    <col min="8204" max="8204" width="9.42578125" style="1" customWidth="1"/>
    <col min="8205" max="8448" width="11.42578125" style="1"/>
    <col min="8449" max="8449" width="5.7109375" style="1" customWidth="1"/>
    <col min="8450" max="8450" width="22.85546875" style="1" customWidth="1"/>
    <col min="8451" max="8451" width="13.42578125" style="1" customWidth="1"/>
    <col min="8452" max="8453" width="11.42578125" style="1"/>
    <col min="8454" max="8454" width="10.7109375" style="1" customWidth="1"/>
    <col min="8455" max="8455" width="8.28515625" style="1" customWidth="1"/>
    <col min="8456" max="8456" width="9" style="1" customWidth="1"/>
    <col min="8457" max="8457" width="9.42578125" style="1" customWidth="1"/>
    <col min="8458" max="8458" width="8.5703125" style="1" customWidth="1"/>
    <col min="8459" max="8459" width="10.42578125" style="1" customWidth="1"/>
    <col min="8460" max="8460" width="9.42578125" style="1" customWidth="1"/>
    <col min="8461" max="8704" width="11.42578125" style="1"/>
    <col min="8705" max="8705" width="5.7109375" style="1" customWidth="1"/>
    <col min="8706" max="8706" width="22.85546875" style="1" customWidth="1"/>
    <col min="8707" max="8707" width="13.42578125" style="1" customWidth="1"/>
    <col min="8708" max="8709" width="11.42578125" style="1"/>
    <col min="8710" max="8710" width="10.7109375" style="1" customWidth="1"/>
    <col min="8711" max="8711" width="8.28515625" style="1" customWidth="1"/>
    <col min="8712" max="8712" width="9" style="1" customWidth="1"/>
    <col min="8713" max="8713" width="9.42578125" style="1" customWidth="1"/>
    <col min="8714" max="8714" width="8.5703125" style="1" customWidth="1"/>
    <col min="8715" max="8715" width="10.42578125" style="1" customWidth="1"/>
    <col min="8716" max="8716" width="9.42578125" style="1" customWidth="1"/>
    <col min="8717" max="8960" width="11.42578125" style="1"/>
    <col min="8961" max="8961" width="5.7109375" style="1" customWidth="1"/>
    <col min="8962" max="8962" width="22.85546875" style="1" customWidth="1"/>
    <col min="8963" max="8963" width="13.42578125" style="1" customWidth="1"/>
    <col min="8964" max="8965" width="11.42578125" style="1"/>
    <col min="8966" max="8966" width="10.7109375" style="1" customWidth="1"/>
    <col min="8967" max="8967" width="8.28515625" style="1" customWidth="1"/>
    <col min="8968" max="8968" width="9" style="1" customWidth="1"/>
    <col min="8969" max="8969" width="9.42578125" style="1" customWidth="1"/>
    <col min="8970" max="8970" width="8.5703125" style="1" customWidth="1"/>
    <col min="8971" max="8971" width="10.42578125" style="1" customWidth="1"/>
    <col min="8972" max="8972" width="9.42578125" style="1" customWidth="1"/>
    <col min="8973" max="9216" width="11.42578125" style="1"/>
    <col min="9217" max="9217" width="5.7109375" style="1" customWidth="1"/>
    <col min="9218" max="9218" width="22.85546875" style="1" customWidth="1"/>
    <col min="9219" max="9219" width="13.42578125" style="1" customWidth="1"/>
    <col min="9220" max="9221" width="11.42578125" style="1"/>
    <col min="9222" max="9222" width="10.7109375" style="1" customWidth="1"/>
    <col min="9223" max="9223" width="8.28515625" style="1" customWidth="1"/>
    <col min="9224" max="9224" width="9" style="1" customWidth="1"/>
    <col min="9225" max="9225" width="9.42578125" style="1" customWidth="1"/>
    <col min="9226" max="9226" width="8.5703125" style="1" customWidth="1"/>
    <col min="9227" max="9227" width="10.42578125" style="1" customWidth="1"/>
    <col min="9228" max="9228" width="9.42578125" style="1" customWidth="1"/>
    <col min="9229" max="9472" width="11.42578125" style="1"/>
    <col min="9473" max="9473" width="5.7109375" style="1" customWidth="1"/>
    <col min="9474" max="9474" width="22.85546875" style="1" customWidth="1"/>
    <col min="9475" max="9475" width="13.42578125" style="1" customWidth="1"/>
    <col min="9476" max="9477" width="11.42578125" style="1"/>
    <col min="9478" max="9478" width="10.7109375" style="1" customWidth="1"/>
    <col min="9479" max="9479" width="8.28515625" style="1" customWidth="1"/>
    <col min="9480" max="9480" width="9" style="1" customWidth="1"/>
    <col min="9481" max="9481" width="9.42578125" style="1" customWidth="1"/>
    <col min="9482" max="9482" width="8.5703125" style="1" customWidth="1"/>
    <col min="9483" max="9483" width="10.42578125" style="1" customWidth="1"/>
    <col min="9484" max="9484" width="9.42578125" style="1" customWidth="1"/>
    <col min="9485" max="9728" width="11.42578125" style="1"/>
    <col min="9729" max="9729" width="5.7109375" style="1" customWidth="1"/>
    <col min="9730" max="9730" width="22.85546875" style="1" customWidth="1"/>
    <col min="9731" max="9731" width="13.42578125" style="1" customWidth="1"/>
    <col min="9732" max="9733" width="11.42578125" style="1"/>
    <col min="9734" max="9734" width="10.7109375" style="1" customWidth="1"/>
    <col min="9735" max="9735" width="8.28515625" style="1" customWidth="1"/>
    <col min="9736" max="9736" width="9" style="1" customWidth="1"/>
    <col min="9737" max="9737" width="9.42578125" style="1" customWidth="1"/>
    <col min="9738" max="9738" width="8.5703125" style="1" customWidth="1"/>
    <col min="9739" max="9739" width="10.42578125" style="1" customWidth="1"/>
    <col min="9740" max="9740" width="9.42578125" style="1" customWidth="1"/>
    <col min="9741" max="9984" width="11.42578125" style="1"/>
    <col min="9985" max="9985" width="5.7109375" style="1" customWidth="1"/>
    <col min="9986" max="9986" width="22.85546875" style="1" customWidth="1"/>
    <col min="9987" max="9987" width="13.42578125" style="1" customWidth="1"/>
    <col min="9988" max="9989" width="11.42578125" style="1"/>
    <col min="9990" max="9990" width="10.7109375" style="1" customWidth="1"/>
    <col min="9991" max="9991" width="8.28515625" style="1" customWidth="1"/>
    <col min="9992" max="9992" width="9" style="1" customWidth="1"/>
    <col min="9993" max="9993" width="9.42578125" style="1" customWidth="1"/>
    <col min="9994" max="9994" width="8.5703125" style="1" customWidth="1"/>
    <col min="9995" max="9995" width="10.42578125" style="1" customWidth="1"/>
    <col min="9996" max="9996" width="9.42578125" style="1" customWidth="1"/>
    <col min="9997" max="10240" width="11.42578125" style="1"/>
    <col min="10241" max="10241" width="5.7109375" style="1" customWidth="1"/>
    <col min="10242" max="10242" width="22.85546875" style="1" customWidth="1"/>
    <col min="10243" max="10243" width="13.42578125" style="1" customWidth="1"/>
    <col min="10244" max="10245" width="11.42578125" style="1"/>
    <col min="10246" max="10246" width="10.7109375" style="1" customWidth="1"/>
    <col min="10247" max="10247" width="8.28515625" style="1" customWidth="1"/>
    <col min="10248" max="10248" width="9" style="1" customWidth="1"/>
    <col min="10249" max="10249" width="9.42578125" style="1" customWidth="1"/>
    <col min="10250" max="10250" width="8.5703125" style="1" customWidth="1"/>
    <col min="10251" max="10251" width="10.42578125" style="1" customWidth="1"/>
    <col min="10252" max="10252" width="9.42578125" style="1" customWidth="1"/>
    <col min="10253" max="10496" width="11.42578125" style="1"/>
    <col min="10497" max="10497" width="5.7109375" style="1" customWidth="1"/>
    <col min="10498" max="10498" width="22.85546875" style="1" customWidth="1"/>
    <col min="10499" max="10499" width="13.42578125" style="1" customWidth="1"/>
    <col min="10500" max="10501" width="11.42578125" style="1"/>
    <col min="10502" max="10502" width="10.7109375" style="1" customWidth="1"/>
    <col min="10503" max="10503" width="8.28515625" style="1" customWidth="1"/>
    <col min="10504" max="10504" width="9" style="1" customWidth="1"/>
    <col min="10505" max="10505" width="9.42578125" style="1" customWidth="1"/>
    <col min="10506" max="10506" width="8.5703125" style="1" customWidth="1"/>
    <col min="10507" max="10507" width="10.42578125" style="1" customWidth="1"/>
    <col min="10508" max="10508" width="9.42578125" style="1" customWidth="1"/>
    <col min="10509" max="10752" width="11.42578125" style="1"/>
    <col min="10753" max="10753" width="5.7109375" style="1" customWidth="1"/>
    <col min="10754" max="10754" width="22.85546875" style="1" customWidth="1"/>
    <col min="10755" max="10755" width="13.42578125" style="1" customWidth="1"/>
    <col min="10756" max="10757" width="11.42578125" style="1"/>
    <col min="10758" max="10758" width="10.7109375" style="1" customWidth="1"/>
    <col min="10759" max="10759" width="8.28515625" style="1" customWidth="1"/>
    <col min="10760" max="10760" width="9" style="1" customWidth="1"/>
    <col min="10761" max="10761" width="9.42578125" style="1" customWidth="1"/>
    <col min="10762" max="10762" width="8.5703125" style="1" customWidth="1"/>
    <col min="10763" max="10763" width="10.42578125" style="1" customWidth="1"/>
    <col min="10764" max="10764" width="9.42578125" style="1" customWidth="1"/>
    <col min="10765" max="11008" width="11.42578125" style="1"/>
    <col min="11009" max="11009" width="5.7109375" style="1" customWidth="1"/>
    <col min="11010" max="11010" width="22.85546875" style="1" customWidth="1"/>
    <col min="11011" max="11011" width="13.42578125" style="1" customWidth="1"/>
    <col min="11012" max="11013" width="11.42578125" style="1"/>
    <col min="11014" max="11014" width="10.7109375" style="1" customWidth="1"/>
    <col min="11015" max="11015" width="8.28515625" style="1" customWidth="1"/>
    <col min="11016" max="11016" width="9" style="1" customWidth="1"/>
    <col min="11017" max="11017" width="9.42578125" style="1" customWidth="1"/>
    <col min="11018" max="11018" width="8.5703125" style="1" customWidth="1"/>
    <col min="11019" max="11019" width="10.42578125" style="1" customWidth="1"/>
    <col min="11020" max="11020" width="9.42578125" style="1" customWidth="1"/>
    <col min="11021" max="11264" width="11.42578125" style="1"/>
    <col min="11265" max="11265" width="5.7109375" style="1" customWidth="1"/>
    <col min="11266" max="11266" width="22.85546875" style="1" customWidth="1"/>
    <col min="11267" max="11267" width="13.42578125" style="1" customWidth="1"/>
    <col min="11268" max="11269" width="11.42578125" style="1"/>
    <col min="11270" max="11270" width="10.7109375" style="1" customWidth="1"/>
    <col min="11271" max="11271" width="8.28515625" style="1" customWidth="1"/>
    <col min="11272" max="11272" width="9" style="1" customWidth="1"/>
    <col min="11273" max="11273" width="9.42578125" style="1" customWidth="1"/>
    <col min="11274" max="11274" width="8.5703125" style="1" customWidth="1"/>
    <col min="11275" max="11275" width="10.42578125" style="1" customWidth="1"/>
    <col min="11276" max="11276" width="9.42578125" style="1" customWidth="1"/>
    <col min="11277" max="11520" width="11.42578125" style="1"/>
    <col min="11521" max="11521" width="5.7109375" style="1" customWidth="1"/>
    <col min="11522" max="11522" width="22.85546875" style="1" customWidth="1"/>
    <col min="11523" max="11523" width="13.42578125" style="1" customWidth="1"/>
    <col min="11524" max="11525" width="11.42578125" style="1"/>
    <col min="11526" max="11526" width="10.7109375" style="1" customWidth="1"/>
    <col min="11527" max="11527" width="8.28515625" style="1" customWidth="1"/>
    <col min="11528" max="11528" width="9" style="1" customWidth="1"/>
    <col min="11529" max="11529" width="9.42578125" style="1" customWidth="1"/>
    <col min="11530" max="11530" width="8.5703125" style="1" customWidth="1"/>
    <col min="11531" max="11531" width="10.42578125" style="1" customWidth="1"/>
    <col min="11532" max="11532" width="9.42578125" style="1" customWidth="1"/>
    <col min="11533" max="11776" width="11.42578125" style="1"/>
    <col min="11777" max="11777" width="5.7109375" style="1" customWidth="1"/>
    <col min="11778" max="11778" width="22.85546875" style="1" customWidth="1"/>
    <col min="11779" max="11779" width="13.42578125" style="1" customWidth="1"/>
    <col min="11780" max="11781" width="11.42578125" style="1"/>
    <col min="11782" max="11782" width="10.7109375" style="1" customWidth="1"/>
    <col min="11783" max="11783" width="8.28515625" style="1" customWidth="1"/>
    <col min="11784" max="11784" width="9" style="1" customWidth="1"/>
    <col min="11785" max="11785" width="9.42578125" style="1" customWidth="1"/>
    <col min="11786" max="11786" width="8.5703125" style="1" customWidth="1"/>
    <col min="11787" max="11787" width="10.42578125" style="1" customWidth="1"/>
    <col min="11788" max="11788" width="9.42578125" style="1" customWidth="1"/>
    <col min="11789" max="12032" width="11.42578125" style="1"/>
    <col min="12033" max="12033" width="5.7109375" style="1" customWidth="1"/>
    <col min="12034" max="12034" width="22.85546875" style="1" customWidth="1"/>
    <col min="12035" max="12035" width="13.42578125" style="1" customWidth="1"/>
    <col min="12036" max="12037" width="11.42578125" style="1"/>
    <col min="12038" max="12038" width="10.7109375" style="1" customWidth="1"/>
    <col min="12039" max="12039" width="8.28515625" style="1" customWidth="1"/>
    <col min="12040" max="12040" width="9" style="1" customWidth="1"/>
    <col min="12041" max="12041" width="9.42578125" style="1" customWidth="1"/>
    <col min="12042" max="12042" width="8.5703125" style="1" customWidth="1"/>
    <col min="12043" max="12043" width="10.42578125" style="1" customWidth="1"/>
    <col min="12044" max="12044" width="9.42578125" style="1" customWidth="1"/>
    <col min="12045" max="12288" width="11.42578125" style="1"/>
    <col min="12289" max="12289" width="5.7109375" style="1" customWidth="1"/>
    <col min="12290" max="12290" width="22.85546875" style="1" customWidth="1"/>
    <col min="12291" max="12291" width="13.42578125" style="1" customWidth="1"/>
    <col min="12292" max="12293" width="11.42578125" style="1"/>
    <col min="12294" max="12294" width="10.7109375" style="1" customWidth="1"/>
    <col min="12295" max="12295" width="8.28515625" style="1" customWidth="1"/>
    <col min="12296" max="12296" width="9" style="1" customWidth="1"/>
    <col min="12297" max="12297" width="9.42578125" style="1" customWidth="1"/>
    <col min="12298" max="12298" width="8.5703125" style="1" customWidth="1"/>
    <col min="12299" max="12299" width="10.42578125" style="1" customWidth="1"/>
    <col min="12300" max="12300" width="9.42578125" style="1" customWidth="1"/>
    <col min="12301" max="12544" width="11.42578125" style="1"/>
    <col min="12545" max="12545" width="5.7109375" style="1" customWidth="1"/>
    <col min="12546" max="12546" width="22.85546875" style="1" customWidth="1"/>
    <col min="12547" max="12547" width="13.42578125" style="1" customWidth="1"/>
    <col min="12548" max="12549" width="11.42578125" style="1"/>
    <col min="12550" max="12550" width="10.7109375" style="1" customWidth="1"/>
    <col min="12551" max="12551" width="8.28515625" style="1" customWidth="1"/>
    <col min="12552" max="12552" width="9" style="1" customWidth="1"/>
    <col min="12553" max="12553" width="9.42578125" style="1" customWidth="1"/>
    <col min="12554" max="12554" width="8.5703125" style="1" customWidth="1"/>
    <col min="12555" max="12555" width="10.42578125" style="1" customWidth="1"/>
    <col min="12556" max="12556" width="9.42578125" style="1" customWidth="1"/>
    <col min="12557" max="12800" width="11.42578125" style="1"/>
    <col min="12801" max="12801" width="5.7109375" style="1" customWidth="1"/>
    <col min="12802" max="12802" width="22.85546875" style="1" customWidth="1"/>
    <col min="12803" max="12803" width="13.42578125" style="1" customWidth="1"/>
    <col min="12804" max="12805" width="11.42578125" style="1"/>
    <col min="12806" max="12806" width="10.7109375" style="1" customWidth="1"/>
    <col min="12807" max="12807" width="8.28515625" style="1" customWidth="1"/>
    <col min="12808" max="12808" width="9" style="1" customWidth="1"/>
    <col min="12809" max="12809" width="9.42578125" style="1" customWidth="1"/>
    <col min="12810" max="12810" width="8.5703125" style="1" customWidth="1"/>
    <col min="12811" max="12811" width="10.42578125" style="1" customWidth="1"/>
    <col min="12812" max="12812" width="9.42578125" style="1" customWidth="1"/>
    <col min="12813" max="13056" width="11.42578125" style="1"/>
    <col min="13057" max="13057" width="5.7109375" style="1" customWidth="1"/>
    <col min="13058" max="13058" width="22.85546875" style="1" customWidth="1"/>
    <col min="13059" max="13059" width="13.42578125" style="1" customWidth="1"/>
    <col min="13060" max="13061" width="11.42578125" style="1"/>
    <col min="13062" max="13062" width="10.7109375" style="1" customWidth="1"/>
    <col min="13063" max="13063" width="8.28515625" style="1" customWidth="1"/>
    <col min="13064" max="13064" width="9" style="1" customWidth="1"/>
    <col min="13065" max="13065" width="9.42578125" style="1" customWidth="1"/>
    <col min="13066" max="13066" width="8.5703125" style="1" customWidth="1"/>
    <col min="13067" max="13067" width="10.42578125" style="1" customWidth="1"/>
    <col min="13068" max="13068" width="9.42578125" style="1" customWidth="1"/>
    <col min="13069" max="13312" width="11.42578125" style="1"/>
    <col min="13313" max="13313" width="5.7109375" style="1" customWidth="1"/>
    <col min="13314" max="13314" width="22.85546875" style="1" customWidth="1"/>
    <col min="13315" max="13315" width="13.42578125" style="1" customWidth="1"/>
    <col min="13316" max="13317" width="11.42578125" style="1"/>
    <col min="13318" max="13318" width="10.7109375" style="1" customWidth="1"/>
    <col min="13319" max="13319" width="8.28515625" style="1" customWidth="1"/>
    <col min="13320" max="13320" width="9" style="1" customWidth="1"/>
    <col min="13321" max="13321" width="9.42578125" style="1" customWidth="1"/>
    <col min="13322" max="13322" width="8.5703125" style="1" customWidth="1"/>
    <col min="13323" max="13323" width="10.42578125" style="1" customWidth="1"/>
    <col min="13324" max="13324" width="9.42578125" style="1" customWidth="1"/>
    <col min="13325" max="13568" width="11.42578125" style="1"/>
    <col min="13569" max="13569" width="5.7109375" style="1" customWidth="1"/>
    <col min="13570" max="13570" width="22.85546875" style="1" customWidth="1"/>
    <col min="13571" max="13571" width="13.42578125" style="1" customWidth="1"/>
    <col min="13572" max="13573" width="11.42578125" style="1"/>
    <col min="13574" max="13574" width="10.7109375" style="1" customWidth="1"/>
    <col min="13575" max="13575" width="8.28515625" style="1" customWidth="1"/>
    <col min="13576" max="13576" width="9" style="1" customWidth="1"/>
    <col min="13577" max="13577" width="9.42578125" style="1" customWidth="1"/>
    <col min="13578" max="13578" width="8.5703125" style="1" customWidth="1"/>
    <col min="13579" max="13579" width="10.42578125" style="1" customWidth="1"/>
    <col min="13580" max="13580" width="9.42578125" style="1" customWidth="1"/>
    <col min="13581" max="13824" width="11.42578125" style="1"/>
    <col min="13825" max="13825" width="5.7109375" style="1" customWidth="1"/>
    <col min="13826" max="13826" width="22.85546875" style="1" customWidth="1"/>
    <col min="13827" max="13827" width="13.42578125" style="1" customWidth="1"/>
    <col min="13828" max="13829" width="11.42578125" style="1"/>
    <col min="13830" max="13830" width="10.7109375" style="1" customWidth="1"/>
    <col min="13831" max="13831" width="8.28515625" style="1" customWidth="1"/>
    <col min="13832" max="13832" width="9" style="1" customWidth="1"/>
    <col min="13833" max="13833" width="9.42578125" style="1" customWidth="1"/>
    <col min="13834" max="13834" width="8.5703125" style="1" customWidth="1"/>
    <col min="13835" max="13835" width="10.42578125" style="1" customWidth="1"/>
    <col min="13836" max="13836" width="9.42578125" style="1" customWidth="1"/>
    <col min="13837" max="14080" width="11.42578125" style="1"/>
    <col min="14081" max="14081" width="5.7109375" style="1" customWidth="1"/>
    <col min="14082" max="14082" width="22.85546875" style="1" customWidth="1"/>
    <col min="14083" max="14083" width="13.42578125" style="1" customWidth="1"/>
    <col min="14084" max="14085" width="11.42578125" style="1"/>
    <col min="14086" max="14086" width="10.7109375" style="1" customWidth="1"/>
    <col min="14087" max="14087" width="8.28515625" style="1" customWidth="1"/>
    <col min="14088" max="14088" width="9" style="1" customWidth="1"/>
    <col min="14089" max="14089" width="9.42578125" style="1" customWidth="1"/>
    <col min="14090" max="14090" width="8.5703125" style="1" customWidth="1"/>
    <col min="14091" max="14091" width="10.42578125" style="1" customWidth="1"/>
    <col min="14092" max="14092" width="9.42578125" style="1" customWidth="1"/>
    <col min="14093" max="14336" width="11.42578125" style="1"/>
    <col min="14337" max="14337" width="5.7109375" style="1" customWidth="1"/>
    <col min="14338" max="14338" width="22.85546875" style="1" customWidth="1"/>
    <col min="14339" max="14339" width="13.42578125" style="1" customWidth="1"/>
    <col min="14340" max="14341" width="11.42578125" style="1"/>
    <col min="14342" max="14342" width="10.7109375" style="1" customWidth="1"/>
    <col min="14343" max="14343" width="8.28515625" style="1" customWidth="1"/>
    <col min="14344" max="14344" width="9" style="1" customWidth="1"/>
    <col min="14345" max="14345" width="9.42578125" style="1" customWidth="1"/>
    <col min="14346" max="14346" width="8.5703125" style="1" customWidth="1"/>
    <col min="14347" max="14347" width="10.42578125" style="1" customWidth="1"/>
    <col min="14348" max="14348" width="9.42578125" style="1" customWidth="1"/>
    <col min="14349" max="14592" width="11.42578125" style="1"/>
    <col min="14593" max="14593" width="5.7109375" style="1" customWidth="1"/>
    <col min="14594" max="14594" width="22.85546875" style="1" customWidth="1"/>
    <col min="14595" max="14595" width="13.42578125" style="1" customWidth="1"/>
    <col min="14596" max="14597" width="11.42578125" style="1"/>
    <col min="14598" max="14598" width="10.7109375" style="1" customWidth="1"/>
    <col min="14599" max="14599" width="8.28515625" style="1" customWidth="1"/>
    <col min="14600" max="14600" width="9" style="1" customWidth="1"/>
    <col min="14601" max="14601" width="9.42578125" style="1" customWidth="1"/>
    <col min="14602" max="14602" width="8.5703125" style="1" customWidth="1"/>
    <col min="14603" max="14603" width="10.42578125" style="1" customWidth="1"/>
    <col min="14604" max="14604" width="9.42578125" style="1" customWidth="1"/>
    <col min="14605" max="14848" width="11.42578125" style="1"/>
    <col min="14849" max="14849" width="5.7109375" style="1" customWidth="1"/>
    <col min="14850" max="14850" width="22.85546875" style="1" customWidth="1"/>
    <col min="14851" max="14851" width="13.42578125" style="1" customWidth="1"/>
    <col min="14852" max="14853" width="11.42578125" style="1"/>
    <col min="14854" max="14854" width="10.7109375" style="1" customWidth="1"/>
    <col min="14855" max="14855" width="8.28515625" style="1" customWidth="1"/>
    <col min="14856" max="14856" width="9" style="1" customWidth="1"/>
    <col min="14857" max="14857" width="9.42578125" style="1" customWidth="1"/>
    <col min="14858" max="14858" width="8.5703125" style="1" customWidth="1"/>
    <col min="14859" max="14859" width="10.42578125" style="1" customWidth="1"/>
    <col min="14860" max="14860" width="9.42578125" style="1" customWidth="1"/>
    <col min="14861" max="15104" width="11.42578125" style="1"/>
    <col min="15105" max="15105" width="5.7109375" style="1" customWidth="1"/>
    <col min="15106" max="15106" width="22.85546875" style="1" customWidth="1"/>
    <col min="15107" max="15107" width="13.42578125" style="1" customWidth="1"/>
    <col min="15108" max="15109" width="11.42578125" style="1"/>
    <col min="15110" max="15110" width="10.7109375" style="1" customWidth="1"/>
    <col min="15111" max="15111" width="8.28515625" style="1" customWidth="1"/>
    <col min="15112" max="15112" width="9" style="1" customWidth="1"/>
    <col min="15113" max="15113" width="9.42578125" style="1" customWidth="1"/>
    <col min="15114" max="15114" width="8.5703125" style="1" customWidth="1"/>
    <col min="15115" max="15115" width="10.42578125" style="1" customWidth="1"/>
    <col min="15116" max="15116" width="9.42578125" style="1" customWidth="1"/>
    <col min="15117" max="15360" width="11.42578125" style="1"/>
    <col min="15361" max="15361" width="5.7109375" style="1" customWidth="1"/>
    <col min="15362" max="15362" width="22.85546875" style="1" customWidth="1"/>
    <col min="15363" max="15363" width="13.42578125" style="1" customWidth="1"/>
    <col min="15364" max="15365" width="11.42578125" style="1"/>
    <col min="15366" max="15366" width="10.7109375" style="1" customWidth="1"/>
    <col min="15367" max="15367" width="8.28515625" style="1" customWidth="1"/>
    <col min="15368" max="15368" width="9" style="1" customWidth="1"/>
    <col min="15369" max="15369" width="9.42578125" style="1" customWidth="1"/>
    <col min="15370" max="15370" width="8.5703125" style="1" customWidth="1"/>
    <col min="15371" max="15371" width="10.42578125" style="1" customWidth="1"/>
    <col min="15372" max="15372" width="9.42578125" style="1" customWidth="1"/>
    <col min="15373" max="15616" width="11.42578125" style="1"/>
    <col min="15617" max="15617" width="5.7109375" style="1" customWidth="1"/>
    <col min="15618" max="15618" width="22.85546875" style="1" customWidth="1"/>
    <col min="15619" max="15619" width="13.42578125" style="1" customWidth="1"/>
    <col min="15620" max="15621" width="11.42578125" style="1"/>
    <col min="15622" max="15622" width="10.7109375" style="1" customWidth="1"/>
    <col min="15623" max="15623" width="8.28515625" style="1" customWidth="1"/>
    <col min="15624" max="15624" width="9" style="1" customWidth="1"/>
    <col min="15625" max="15625" width="9.42578125" style="1" customWidth="1"/>
    <col min="15626" max="15626" width="8.5703125" style="1" customWidth="1"/>
    <col min="15627" max="15627" width="10.42578125" style="1" customWidth="1"/>
    <col min="15628" max="15628" width="9.42578125" style="1" customWidth="1"/>
    <col min="15629" max="15872" width="11.42578125" style="1"/>
    <col min="15873" max="15873" width="5.7109375" style="1" customWidth="1"/>
    <col min="15874" max="15874" width="22.85546875" style="1" customWidth="1"/>
    <col min="15875" max="15875" width="13.42578125" style="1" customWidth="1"/>
    <col min="15876" max="15877" width="11.42578125" style="1"/>
    <col min="15878" max="15878" width="10.7109375" style="1" customWidth="1"/>
    <col min="15879" max="15879" width="8.28515625" style="1" customWidth="1"/>
    <col min="15880" max="15880" width="9" style="1" customWidth="1"/>
    <col min="15881" max="15881" width="9.42578125" style="1" customWidth="1"/>
    <col min="15882" max="15882" width="8.5703125" style="1" customWidth="1"/>
    <col min="15883" max="15883" width="10.42578125" style="1" customWidth="1"/>
    <col min="15884" max="15884" width="9.42578125" style="1" customWidth="1"/>
    <col min="15885" max="16128" width="11.42578125" style="1"/>
    <col min="16129" max="16129" width="5.7109375" style="1" customWidth="1"/>
    <col min="16130" max="16130" width="22.85546875" style="1" customWidth="1"/>
    <col min="16131" max="16131" width="13.42578125" style="1" customWidth="1"/>
    <col min="16132" max="16133" width="11.42578125" style="1"/>
    <col min="16134" max="16134" width="10.7109375" style="1" customWidth="1"/>
    <col min="16135" max="16135" width="8.28515625" style="1" customWidth="1"/>
    <col min="16136" max="16136" width="9" style="1" customWidth="1"/>
    <col min="16137" max="16137" width="9.42578125" style="1" customWidth="1"/>
    <col min="16138" max="16138" width="8.5703125" style="1" customWidth="1"/>
    <col min="16139" max="16139" width="10.42578125" style="1" customWidth="1"/>
    <col min="16140" max="16140" width="9.42578125" style="1" customWidth="1"/>
    <col min="16141" max="16384" width="11.42578125" style="1"/>
  </cols>
  <sheetData>
    <row r="3" spans="2:13" ht="15" x14ac:dyDescent="0.25">
      <c r="B3" s="314" t="s">
        <v>224</v>
      </c>
      <c r="C3" s="314"/>
      <c r="D3" s="314"/>
      <c r="E3" s="314"/>
      <c r="F3" s="314"/>
    </row>
    <row r="5" spans="2:13" ht="15" x14ac:dyDescent="0.25">
      <c r="B5" s="315" t="s">
        <v>225</v>
      </c>
    </row>
    <row r="6" spans="2:13" ht="15" x14ac:dyDescent="0.25">
      <c r="B6" s="315" t="s">
        <v>226</v>
      </c>
      <c r="C6" s="315"/>
      <c r="D6" s="315"/>
      <c r="E6" s="315"/>
      <c r="F6" s="315"/>
      <c r="G6" s="315"/>
    </row>
    <row r="7" spans="2:13" ht="15" x14ac:dyDescent="0.25">
      <c r="B7" s="315" t="s">
        <v>227</v>
      </c>
      <c r="C7" s="315"/>
      <c r="D7" s="315"/>
      <c r="E7" s="315"/>
      <c r="F7" s="315"/>
      <c r="G7" s="315"/>
    </row>
    <row r="8" spans="2:13" x14ac:dyDescent="0.2">
      <c r="B8" s="87"/>
      <c r="C8" s="87"/>
      <c r="D8" s="87"/>
      <c r="E8" s="87"/>
      <c r="F8" s="87"/>
      <c r="G8" s="87"/>
      <c r="H8" s="87"/>
      <c r="I8" s="87"/>
      <c r="J8" s="87"/>
      <c r="K8" s="87"/>
      <c r="L8" s="5"/>
    </row>
    <row r="9" spans="2:13" x14ac:dyDescent="0.2">
      <c r="B9" s="316"/>
      <c r="C9" s="94" t="s">
        <v>228</v>
      </c>
      <c r="D9" s="90" t="s">
        <v>229</v>
      </c>
      <c r="E9" s="317">
        <v>0.7</v>
      </c>
      <c r="F9" s="91" t="s">
        <v>230</v>
      </c>
      <c r="G9" s="92"/>
      <c r="H9" s="92"/>
      <c r="I9" s="92"/>
      <c r="J9" s="92"/>
      <c r="K9" s="92"/>
      <c r="L9" s="95"/>
      <c r="M9" s="5"/>
    </row>
    <row r="10" spans="2:13" ht="15" x14ac:dyDescent="0.25">
      <c r="B10" s="318" t="s">
        <v>231</v>
      </c>
      <c r="C10" s="319" t="s">
        <v>77</v>
      </c>
      <c r="D10" s="320">
        <v>0.3</v>
      </c>
      <c r="E10" s="321" t="s">
        <v>232</v>
      </c>
      <c r="F10" s="322" t="s">
        <v>23</v>
      </c>
      <c r="G10" s="322" t="s">
        <v>233</v>
      </c>
      <c r="H10" s="322" t="s">
        <v>24</v>
      </c>
      <c r="I10" s="322" t="s">
        <v>233</v>
      </c>
      <c r="J10" s="322" t="s">
        <v>234</v>
      </c>
      <c r="K10" s="322" t="s">
        <v>233</v>
      </c>
      <c r="L10" s="95"/>
      <c r="M10" s="5"/>
    </row>
    <row r="11" spans="2:13" ht="15" x14ac:dyDescent="0.25">
      <c r="B11" s="323" t="s">
        <v>235</v>
      </c>
      <c r="C11" s="100" t="s">
        <v>152</v>
      </c>
      <c r="D11" s="100" t="s">
        <v>58</v>
      </c>
      <c r="E11" s="99" t="s">
        <v>50</v>
      </c>
      <c r="F11" s="99" t="s">
        <v>236</v>
      </c>
      <c r="G11" s="99" t="s">
        <v>237</v>
      </c>
      <c r="H11" s="99" t="s">
        <v>236</v>
      </c>
      <c r="I11" s="99" t="s">
        <v>237</v>
      </c>
      <c r="J11" s="99" t="s">
        <v>236</v>
      </c>
      <c r="K11" s="99" t="s">
        <v>237</v>
      </c>
      <c r="L11" s="95"/>
      <c r="M11" s="5"/>
    </row>
    <row r="12" spans="2:13" ht="18.75" thickBot="1" x14ac:dyDescent="0.3">
      <c r="B12" s="324" t="s">
        <v>238</v>
      </c>
      <c r="C12" s="325"/>
      <c r="D12" s="326">
        <f>(C12*30)/100</f>
        <v>0</v>
      </c>
      <c r="E12" s="326">
        <f>(C12-D12)</f>
        <v>0</v>
      </c>
      <c r="F12" s="327">
        <v>412</v>
      </c>
      <c r="G12" s="328">
        <f>E12*F12</f>
        <v>0</v>
      </c>
      <c r="H12" s="327">
        <v>765</v>
      </c>
      <c r="I12" s="328">
        <f>E12*H12</f>
        <v>0</v>
      </c>
      <c r="J12" s="327">
        <v>758</v>
      </c>
      <c r="K12" s="329">
        <f>E12*J12</f>
        <v>0</v>
      </c>
      <c r="L12" s="95"/>
      <c r="M12" s="5"/>
    </row>
    <row r="13" spans="2:13" ht="15.75" x14ac:dyDescent="0.25">
      <c r="B13" s="330" t="s">
        <v>239</v>
      </c>
      <c r="C13" s="331" t="s">
        <v>240</v>
      </c>
      <c r="D13" s="332"/>
      <c r="E13" s="333">
        <f>SUM(D12,0)</f>
        <v>0</v>
      </c>
    </row>
    <row r="14" spans="2:13" ht="15.75" x14ac:dyDescent="0.25">
      <c r="B14" s="334" t="s">
        <v>241</v>
      </c>
      <c r="C14" s="335" t="s">
        <v>242</v>
      </c>
      <c r="D14" s="336"/>
      <c r="E14" s="337">
        <f>(G12/42.5)</f>
        <v>0</v>
      </c>
    </row>
    <row r="15" spans="2:13" ht="15.75" x14ac:dyDescent="0.25">
      <c r="B15" s="334" t="s">
        <v>243</v>
      </c>
      <c r="C15" s="335" t="s">
        <v>240</v>
      </c>
      <c r="D15" s="336"/>
      <c r="E15" s="338">
        <f>(I12/1411)</f>
        <v>0</v>
      </c>
    </row>
    <row r="16" spans="2:13" ht="16.5" thickBot="1" x14ac:dyDescent="0.3">
      <c r="B16" s="339" t="s">
        <v>244</v>
      </c>
      <c r="C16" s="340" t="s">
        <v>240</v>
      </c>
      <c r="D16" s="341"/>
      <c r="E16" s="342">
        <f>(K12/1259)</f>
        <v>0</v>
      </c>
    </row>
  </sheetData>
  <pageMargins left="0.75" right="0.75" top="1" bottom="1" header="0" footer="0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1" tint="0.34998626667073579"/>
  </sheetPr>
  <dimension ref="B2:I12"/>
  <sheetViews>
    <sheetView workbookViewId="0">
      <selection activeCell="C7" sqref="C7"/>
    </sheetView>
  </sheetViews>
  <sheetFormatPr baseColWidth="10" defaultRowHeight="12.75" x14ac:dyDescent="0.2"/>
  <cols>
    <col min="1" max="1" width="6.85546875" style="1" customWidth="1"/>
    <col min="2" max="2" width="23.42578125" style="1" customWidth="1"/>
    <col min="3" max="3" width="16.85546875" style="1" customWidth="1"/>
    <col min="4" max="4" width="16" style="1" customWidth="1"/>
    <col min="5" max="5" width="11.42578125" style="1"/>
    <col min="6" max="6" width="18.5703125" style="1" customWidth="1"/>
    <col min="7" max="7" width="9.85546875" style="1" customWidth="1"/>
    <col min="8" max="8" width="12.7109375" style="1" customWidth="1"/>
    <col min="9" max="256" width="11.42578125" style="1"/>
    <col min="257" max="257" width="6.85546875" style="1" customWidth="1"/>
    <col min="258" max="258" width="23.42578125" style="1" customWidth="1"/>
    <col min="259" max="259" width="16.85546875" style="1" customWidth="1"/>
    <col min="260" max="260" width="16" style="1" customWidth="1"/>
    <col min="261" max="261" width="11.42578125" style="1"/>
    <col min="262" max="262" width="18.5703125" style="1" customWidth="1"/>
    <col min="263" max="263" width="9.85546875" style="1" customWidth="1"/>
    <col min="264" max="264" width="12.7109375" style="1" customWidth="1"/>
    <col min="265" max="512" width="11.42578125" style="1"/>
    <col min="513" max="513" width="6.85546875" style="1" customWidth="1"/>
    <col min="514" max="514" width="23.42578125" style="1" customWidth="1"/>
    <col min="515" max="515" width="16.85546875" style="1" customWidth="1"/>
    <col min="516" max="516" width="16" style="1" customWidth="1"/>
    <col min="517" max="517" width="11.42578125" style="1"/>
    <col min="518" max="518" width="18.5703125" style="1" customWidth="1"/>
    <col min="519" max="519" width="9.85546875" style="1" customWidth="1"/>
    <col min="520" max="520" width="12.7109375" style="1" customWidth="1"/>
    <col min="521" max="768" width="11.42578125" style="1"/>
    <col min="769" max="769" width="6.85546875" style="1" customWidth="1"/>
    <col min="770" max="770" width="23.42578125" style="1" customWidth="1"/>
    <col min="771" max="771" width="16.85546875" style="1" customWidth="1"/>
    <col min="772" max="772" width="16" style="1" customWidth="1"/>
    <col min="773" max="773" width="11.42578125" style="1"/>
    <col min="774" max="774" width="18.5703125" style="1" customWidth="1"/>
    <col min="775" max="775" width="9.85546875" style="1" customWidth="1"/>
    <col min="776" max="776" width="12.7109375" style="1" customWidth="1"/>
    <col min="777" max="1024" width="11.42578125" style="1"/>
    <col min="1025" max="1025" width="6.85546875" style="1" customWidth="1"/>
    <col min="1026" max="1026" width="23.42578125" style="1" customWidth="1"/>
    <col min="1027" max="1027" width="16.85546875" style="1" customWidth="1"/>
    <col min="1028" max="1028" width="16" style="1" customWidth="1"/>
    <col min="1029" max="1029" width="11.42578125" style="1"/>
    <col min="1030" max="1030" width="18.5703125" style="1" customWidth="1"/>
    <col min="1031" max="1031" width="9.85546875" style="1" customWidth="1"/>
    <col min="1032" max="1032" width="12.7109375" style="1" customWidth="1"/>
    <col min="1033" max="1280" width="11.42578125" style="1"/>
    <col min="1281" max="1281" width="6.85546875" style="1" customWidth="1"/>
    <col min="1282" max="1282" width="23.42578125" style="1" customWidth="1"/>
    <col min="1283" max="1283" width="16.85546875" style="1" customWidth="1"/>
    <col min="1284" max="1284" width="16" style="1" customWidth="1"/>
    <col min="1285" max="1285" width="11.42578125" style="1"/>
    <col min="1286" max="1286" width="18.5703125" style="1" customWidth="1"/>
    <col min="1287" max="1287" width="9.85546875" style="1" customWidth="1"/>
    <col min="1288" max="1288" width="12.7109375" style="1" customWidth="1"/>
    <col min="1289" max="1536" width="11.42578125" style="1"/>
    <col min="1537" max="1537" width="6.85546875" style="1" customWidth="1"/>
    <col min="1538" max="1538" width="23.42578125" style="1" customWidth="1"/>
    <col min="1539" max="1539" width="16.85546875" style="1" customWidth="1"/>
    <col min="1540" max="1540" width="16" style="1" customWidth="1"/>
    <col min="1541" max="1541" width="11.42578125" style="1"/>
    <col min="1542" max="1542" width="18.5703125" style="1" customWidth="1"/>
    <col min="1543" max="1543" width="9.85546875" style="1" customWidth="1"/>
    <col min="1544" max="1544" width="12.7109375" style="1" customWidth="1"/>
    <col min="1545" max="1792" width="11.42578125" style="1"/>
    <col min="1793" max="1793" width="6.85546875" style="1" customWidth="1"/>
    <col min="1794" max="1794" width="23.42578125" style="1" customWidth="1"/>
    <col min="1795" max="1795" width="16.85546875" style="1" customWidth="1"/>
    <col min="1796" max="1796" width="16" style="1" customWidth="1"/>
    <col min="1797" max="1797" width="11.42578125" style="1"/>
    <col min="1798" max="1798" width="18.5703125" style="1" customWidth="1"/>
    <col min="1799" max="1799" width="9.85546875" style="1" customWidth="1"/>
    <col min="1800" max="1800" width="12.7109375" style="1" customWidth="1"/>
    <col min="1801" max="2048" width="11.42578125" style="1"/>
    <col min="2049" max="2049" width="6.85546875" style="1" customWidth="1"/>
    <col min="2050" max="2050" width="23.42578125" style="1" customWidth="1"/>
    <col min="2051" max="2051" width="16.85546875" style="1" customWidth="1"/>
    <col min="2052" max="2052" width="16" style="1" customWidth="1"/>
    <col min="2053" max="2053" width="11.42578125" style="1"/>
    <col min="2054" max="2054" width="18.5703125" style="1" customWidth="1"/>
    <col min="2055" max="2055" width="9.85546875" style="1" customWidth="1"/>
    <col min="2056" max="2056" width="12.7109375" style="1" customWidth="1"/>
    <col min="2057" max="2304" width="11.42578125" style="1"/>
    <col min="2305" max="2305" width="6.85546875" style="1" customWidth="1"/>
    <col min="2306" max="2306" width="23.42578125" style="1" customWidth="1"/>
    <col min="2307" max="2307" width="16.85546875" style="1" customWidth="1"/>
    <col min="2308" max="2308" width="16" style="1" customWidth="1"/>
    <col min="2309" max="2309" width="11.42578125" style="1"/>
    <col min="2310" max="2310" width="18.5703125" style="1" customWidth="1"/>
    <col min="2311" max="2311" width="9.85546875" style="1" customWidth="1"/>
    <col min="2312" max="2312" width="12.7109375" style="1" customWidth="1"/>
    <col min="2313" max="2560" width="11.42578125" style="1"/>
    <col min="2561" max="2561" width="6.85546875" style="1" customWidth="1"/>
    <col min="2562" max="2562" width="23.42578125" style="1" customWidth="1"/>
    <col min="2563" max="2563" width="16.85546875" style="1" customWidth="1"/>
    <col min="2564" max="2564" width="16" style="1" customWidth="1"/>
    <col min="2565" max="2565" width="11.42578125" style="1"/>
    <col min="2566" max="2566" width="18.5703125" style="1" customWidth="1"/>
    <col min="2567" max="2567" width="9.85546875" style="1" customWidth="1"/>
    <col min="2568" max="2568" width="12.7109375" style="1" customWidth="1"/>
    <col min="2569" max="2816" width="11.42578125" style="1"/>
    <col min="2817" max="2817" width="6.85546875" style="1" customWidth="1"/>
    <col min="2818" max="2818" width="23.42578125" style="1" customWidth="1"/>
    <col min="2819" max="2819" width="16.85546875" style="1" customWidth="1"/>
    <col min="2820" max="2820" width="16" style="1" customWidth="1"/>
    <col min="2821" max="2821" width="11.42578125" style="1"/>
    <col min="2822" max="2822" width="18.5703125" style="1" customWidth="1"/>
    <col min="2823" max="2823" width="9.85546875" style="1" customWidth="1"/>
    <col min="2824" max="2824" width="12.7109375" style="1" customWidth="1"/>
    <col min="2825" max="3072" width="11.42578125" style="1"/>
    <col min="3073" max="3073" width="6.85546875" style="1" customWidth="1"/>
    <col min="3074" max="3074" width="23.42578125" style="1" customWidth="1"/>
    <col min="3075" max="3075" width="16.85546875" style="1" customWidth="1"/>
    <col min="3076" max="3076" width="16" style="1" customWidth="1"/>
    <col min="3077" max="3077" width="11.42578125" style="1"/>
    <col min="3078" max="3078" width="18.5703125" style="1" customWidth="1"/>
    <col min="3079" max="3079" width="9.85546875" style="1" customWidth="1"/>
    <col min="3080" max="3080" width="12.7109375" style="1" customWidth="1"/>
    <col min="3081" max="3328" width="11.42578125" style="1"/>
    <col min="3329" max="3329" width="6.85546875" style="1" customWidth="1"/>
    <col min="3330" max="3330" width="23.42578125" style="1" customWidth="1"/>
    <col min="3331" max="3331" width="16.85546875" style="1" customWidth="1"/>
    <col min="3332" max="3332" width="16" style="1" customWidth="1"/>
    <col min="3333" max="3333" width="11.42578125" style="1"/>
    <col min="3334" max="3334" width="18.5703125" style="1" customWidth="1"/>
    <col min="3335" max="3335" width="9.85546875" style="1" customWidth="1"/>
    <col min="3336" max="3336" width="12.7109375" style="1" customWidth="1"/>
    <col min="3337" max="3584" width="11.42578125" style="1"/>
    <col min="3585" max="3585" width="6.85546875" style="1" customWidth="1"/>
    <col min="3586" max="3586" width="23.42578125" style="1" customWidth="1"/>
    <col min="3587" max="3587" width="16.85546875" style="1" customWidth="1"/>
    <col min="3588" max="3588" width="16" style="1" customWidth="1"/>
    <col min="3589" max="3589" width="11.42578125" style="1"/>
    <col min="3590" max="3590" width="18.5703125" style="1" customWidth="1"/>
    <col min="3591" max="3591" width="9.85546875" style="1" customWidth="1"/>
    <col min="3592" max="3592" width="12.7109375" style="1" customWidth="1"/>
    <col min="3593" max="3840" width="11.42578125" style="1"/>
    <col min="3841" max="3841" width="6.85546875" style="1" customWidth="1"/>
    <col min="3842" max="3842" width="23.42578125" style="1" customWidth="1"/>
    <col min="3843" max="3843" width="16.85546875" style="1" customWidth="1"/>
    <col min="3844" max="3844" width="16" style="1" customWidth="1"/>
    <col min="3845" max="3845" width="11.42578125" style="1"/>
    <col min="3846" max="3846" width="18.5703125" style="1" customWidth="1"/>
    <col min="3847" max="3847" width="9.85546875" style="1" customWidth="1"/>
    <col min="3848" max="3848" width="12.7109375" style="1" customWidth="1"/>
    <col min="3849" max="4096" width="11.42578125" style="1"/>
    <col min="4097" max="4097" width="6.85546875" style="1" customWidth="1"/>
    <col min="4098" max="4098" width="23.42578125" style="1" customWidth="1"/>
    <col min="4099" max="4099" width="16.85546875" style="1" customWidth="1"/>
    <col min="4100" max="4100" width="16" style="1" customWidth="1"/>
    <col min="4101" max="4101" width="11.42578125" style="1"/>
    <col min="4102" max="4102" width="18.5703125" style="1" customWidth="1"/>
    <col min="4103" max="4103" width="9.85546875" style="1" customWidth="1"/>
    <col min="4104" max="4104" width="12.7109375" style="1" customWidth="1"/>
    <col min="4105" max="4352" width="11.42578125" style="1"/>
    <col min="4353" max="4353" width="6.85546875" style="1" customWidth="1"/>
    <col min="4354" max="4354" width="23.42578125" style="1" customWidth="1"/>
    <col min="4355" max="4355" width="16.85546875" style="1" customWidth="1"/>
    <col min="4356" max="4356" width="16" style="1" customWidth="1"/>
    <col min="4357" max="4357" width="11.42578125" style="1"/>
    <col min="4358" max="4358" width="18.5703125" style="1" customWidth="1"/>
    <col min="4359" max="4359" width="9.85546875" style="1" customWidth="1"/>
    <col min="4360" max="4360" width="12.7109375" style="1" customWidth="1"/>
    <col min="4361" max="4608" width="11.42578125" style="1"/>
    <col min="4609" max="4609" width="6.85546875" style="1" customWidth="1"/>
    <col min="4610" max="4610" width="23.42578125" style="1" customWidth="1"/>
    <col min="4611" max="4611" width="16.85546875" style="1" customWidth="1"/>
    <col min="4612" max="4612" width="16" style="1" customWidth="1"/>
    <col min="4613" max="4613" width="11.42578125" style="1"/>
    <col min="4614" max="4614" width="18.5703125" style="1" customWidth="1"/>
    <col min="4615" max="4615" width="9.85546875" style="1" customWidth="1"/>
    <col min="4616" max="4616" width="12.7109375" style="1" customWidth="1"/>
    <col min="4617" max="4864" width="11.42578125" style="1"/>
    <col min="4865" max="4865" width="6.85546875" style="1" customWidth="1"/>
    <col min="4866" max="4866" width="23.42578125" style="1" customWidth="1"/>
    <col min="4867" max="4867" width="16.85546875" style="1" customWidth="1"/>
    <col min="4868" max="4868" width="16" style="1" customWidth="1"/>
    <col min="4869" max="4869" width="11.42578125" style="1"/>
    <col min="4870" max="4870" width="18.5703125" style="1" customWidth="1"/>
    <col min="4871" max="4871" width="9.85546875" style="1" customWidth="1"/>
    <col min="4872" max="4872" width="12.7109375" style="1" customWidth="1"/>
    <col min="4873" max="5120" width="11.42578125" style="1"/>
    <col min="5121" max="5121" width="6.85546875" style="1" customWidth="1"/>
    <col min="5122" max="5122" width="23.42578125" style="1" customWidth="1"/>
    <col min="5123" max="5123" width="16.85546875" style="1" customWidth="1"/>
    <col min="5124" max="5124" width="16" style="1" customWidth="1"/>
    <col min="5125" max="5125" width="11.42578125" style="1"/>
    <col min="5126" max="5126" width="18.5703125" style="1" customWidth="1"/>
    <col min="5127" max="5127" width="9.85546875" style="1" customWidth="1"/>
    <col min="5128" max="5128" width="12.7109375" style="1" customWidth="1"/>
    <col min="5129" max="5376" width="11.42578125" style="1"/>
    <col min="5377" max="5377" width="6.85546875" style="1" customWidth="1"/>
    <col min="5378" max="5378" width="23.42578125" style="1" customWidth="1"/>
    <col min="5379" max="5379" width="16.85546875" style="1" customWidth="1"/>
    <col min="5380" max="5380" width="16" style="1" customWidth="1"/>
    <col min="5381" max="5381" width="11.42578125" style="1"/>
    <col min="5382" max="5382" width="18.5703125" style="1" customWidth="1"/>
    <col min="5383" max="5383" width="9.85546875" style="1" customWidth="1"/>
    <col min="5384" max="5384" width="12.7109375" style="1" customWidth="1"/>
    <col min="5385" max="5632" width="11.42578125" style="1"/>
    <col min="5633" max="5633" width="6.85546875" style="1" customWidth="1"/>
    <col min="5634" max="5634" width="23.42578125" style="1" customWidth="1"/>
    <col min="5635" max="5635" width="16.85546875" style="1" customWidth="1"/>
    <col min="5636" max="5636" width="16" style="1" customWidth="1"/>
    <col min="5637" max="5637" width="11.42578125" style="1"/>
    <col min="5638" max="5638" width="18.5703125" style="1" customWidth="1"/>
    <col min="5639" max="5639" width="9.85546875" style="1" customWidth="1"/>
    <col min="5640" max="5640" width="12.7109375" style="1" customWidth="1"/>
    <col min="5641" max="5888" width="11.42578125" style="1"/>
    <col min="5889" max="5889" width="6.85546875" style="1" customWidth="1"/>
    <col min="5890" max="5890" width="23.42578125" style="1" customWidth="1"/>
    <col min="5891" max="5891" width="16.85546875" style="1" customWidth="1"/>
    <col min="5892" max="5892" width="16" style="1" customWidth="1"/>
    <col min="5893" max="5893" width="11.42578125" style="1"/>
    <col min="5894" max="5894" width="18.5703125" style="1" customWidth="1"/>
    <col min="5895" max="5895" width="9.85546875" style="1" customWidth="1"/>
    <col min="5896" max="5896" width="12.7109375" style="1" customWidth="1"/>
    <col min="5897" max="6144" width="11.42578125" style="1"/>
    <col min="6145" max="6145" width="6.85546875" style="1" customWidth="1"/>
    <col min="6146" max="6146" width="23.42578125" style="1" customWidth="1"/>
    <col min="6147" max="6147" width="16.85546875" style="1" customWidth="1"/>
    <col min="6148" max="6148" width="16" style="1" customWidth="1"/>
    <col min="6149" max="6149" width="11.42578125" style="1"/>
    <col min="6150" max="6150" width="18.5703125" style="1" customWidth="1"/>
    <col min="6151" max="6151" width="9.85546875" style="1" customWidth="1"/>
    <col min="6152" max="6152" width="12.7109375" style="1" customWidth="1"/>
    <col min="6153" max="6400" width="11.42578125" style="1"/>
    <col min="6401" max="6401" width="6.85546875" style="1" customWidth="1"/>
    <col min="6402" max="6402" width="23.42578125" style="1" customWidth="1"/>
    <col min="6403" max="6403" width="16.85546875" style="1" customWidth="1"/>
    <col min="6404" max="6404" width="16" style="1" customWidth="1"/>
    <col min="6405" max="6405" width="11.42578125" style="1"/>
    <col min="6406" max="6406" width="18.5703125" style="1" customWidth="1"/>
    <col min="6407" max="6407" width="9.85546875" style="1" customWidth="1"/>
    <col min="6408" max="6408" width="12.7109375" style="1" customWidth="1"/>
    <col min="6409" max="6656" width="11.42578125" style="1"/>
    <col min="6657" max="6657" width="6.85546875" style="1" customWidth="1"/>
    <col min="6658" max="6658" width="23.42578125" style="1" customWidth="1"/>
    <col min="6659" max="6659" width="16.85546875" style="1" customWidth="1"/>
    <col min="6660" max="6660" width="16" style="1" customWidth="1"/>
    <col min="6661" max="6661" width="11.42578125" style="1"/>
    <col min="6662" max="6662" width="18.5703125" style="1" customWidth="1"/>
    <col min="6663" max="6663" width="9.85546875" style="1" customWidth="1"/>
    <col min="6664" max="6664" width="12.7109375" style="1" customWidth="1"/>
    <col min="6665" max="6912" width="11.42578125" style="1"/>
    <col min="6913" max="6913" width="6.85546875" style="1" customWidth="1"/>
    <col min="6914" max="6914" width="23.42578125" style="1" customWidth="1"/>
    <col min="6915" max="6915" width="16.85546875" style="1" customWidth="1"/>
    <col min="6916" max="6916" width="16" style="1" customWidth="1"/>
    <col min="6917" max="6917" width="11.42578125" style="1"/>
    <col min="6918" max="6918" width="18.5703125" style="1" customWidth="1"/>
    <col min="6919" max="6919" width="9.85546875" style="1" customWidth="1"/>
    <col min="6920" max="6920" width="12.7109375" style="1" customWidth="1"/>
    <col min="6921" max="7168" width="11.42578125" style="1"/>
    <col min="7169" max="7169" width="6.85546875" style="1" customWidth="1"/>
    <col min="7170" max="7170" width="23.42578125" style="1" customWidth="1"/>
    <col min="7171" max="7171" width="16.85546875" style="1" customWidth="1"/>
    <col min="7172" max="7172" width="16" style="1" customWidth="1"/>
    <col min="7173" max="7173" width="11.42578125" style="1"/>
    <col min="7174" max="7174" width="18.5703125" style="1" customWidth="1"/>
    <col min="7175" max="7175" width="9.85546875" style="1" customWidth="1"/>
    <col min="7176" max="7176" width="12.7109375" style="1" customWidth="1"/>
    <col min="7177" max="7424" width="11.42578125" style="1"/>
    <col min="7425" max="7425" width="6.85546875" style="1" customWidth="1"/>
    <col min="7426" max="7426" width="23.42578125" style="1" customWidth="1"/>
    <col min="7427" max="7427" width="16.85546875" style="1" customWidth="1"/>
    <col min="7428" max="7428" width="16" style="1" customWidth="1"/>
    <col min="7429" max="7429" width="11.42578125" style="1"/>
    <col min="7430" max="7430" width="18.5703125" style="1" customWidth="1"/>
    <col min="7431" max="7431" width="9.85546875" style="1" customWidth="1"/>
    <col min="7432" max="7432" width="12.7109375" style="1" customWidth="1"/>
    <col min="7433" max="7680" width="11.42578125" style="1"/>
    <col min="7681" max="7681" width="6.85546875" style="1" customWidth="1"/>
    <col min="7682" max="7682" width="23.42578125" style="1" customWidth="1"/>
    <col min="7683" max="7683" width="16.85546875" style="1" customWidth="1"/>
    <col min="7684" max="7684" width="16" style="1" customWidth="1"/>
    <col min="7685" max="7685" width="11.42578125" style="1"/>
    <col min="7686" max="7686" width="18.5703125" style="1" customWidth="1"/>
    <col min="7687" max="7687" width="9.85546875" style="1" customWidth="1"/>
    <col min="7688" max="7688" width="12.7109375" style="1" customWidth="1"/>
    <col min="7689" max="7936" width="11.42578125" style="1"/>
    <col min="7937" max="7937" width="6.85546875" style="1" customWidth="1"/>
    <col min="7938" max="7938" width="23.42578125" style="1" customWidth="1"/>
    <col min="7939" max="7939" width="16.85546875" style="1" customWidth="1"/>
    <col min="7940" max="7940" width="16" style="1" customWidth="1"/>
    <col min="7941" max="7941" width="11.42578125" style="1"/>
    <col min="7942" max="7942" width="18.5703125" style="1" customWidth="1"/>
    <col min="7943" max="7943" width="9.85546875" style="1" customWidth="1"/>
    <col min="7944" max="7944" width="12.7109375" style="1" customWidth="1"/>
    <col min="7945" max="8192" width="11.42578125" style="1"/>
    <col min="8193" max="8193" width="6.85546875" style="1" customWidth="1"/>
    <col min="8194" max="8194" width="23.42578125" style="1" customWidth="1"/>
    <col min="8195" max="8195" width="16.85546875" style="1" customWidth="1"/>
    <col min="8196" max="8196" width="16" style="1" customWidth="1"/>
    <col min="8197" max="8197" width="11.42578125" style="1"/>
    <col min="8198" max="8198" width="18.5703125" style="1" customWidth="1"/>
    <col min="8199" max="8199" width="9.85546875" style="1" customWidth="1"/>
    <col min="8200" max="8200" width="12.7109375" style="1" customWidth="1"/>
    <col min="8201" max="8448" width="11.42578125" style="1"/>
    <col min="8449" max="8449" width="6.85546875" style="1" customWidth="1"/>
    <col min="8450" max="8450" width="23.42578125" style="1" customWidth="1"/>
    <col min="8451" max="8451" width="16.85546875" style="1" customWidth="1"/>
    <col min="8452" max="8452" width="16" style="1" customWidth="1"/>
    <col min="8453" max="8453" width="11.42578125" style="1"/>
    <col min="8454" max="8454" width="18.5703125" style="1" customWidth="1"/>
    <col min="8455" max="8455" width="9.85546875" style="1" customWidth="1"/>
    <col min="8456" max="8456" width="12.7109375" style="1" customWidth="1"/>
    <col min="8457" max="8704" width="11.42578125" style="1"/>
    <col min="8705" max="8705" width="6.85546875" style="1" customWidth="1"/>
    <col min="8706" max="8706" width="23.42578125" style="1" customWidth="1"/>
    <col min="8707" max="8707" width="16.85546875" style="1" customWidth="1"/>
    <col min="8708" max="8708" width="16" style="1" customWidth="1"/>
    <col min="8709" max="8709" width="11.42578125" style="1"/>
    <col min="8710" max="8710" width="18.5703125" style="1" customWidth="1"/>
    <col min="8711" max="8711" width="9.85546875" style="1" customWidth="1"/>
    <col min="8712" max="8712" width="12.7109375" style="1" customWidth="1"/>
    <col min="8713" max="8960" width="11.42578125" style="1"/>
    <col min="8961" max="8961" width="6.85546875" style="1" customWidth="1"/>
    <col min="8962" max="8962" width="23.42578125" style="1" customWidth="1"/>
    <col min="8963" max="8963" width="16.85546875" style="1" customWidth="1"/>
    <col min="8964" max="8964" width="16" style="1" customWidth="1"/>
    <col min="8965" max="8965" width="11.42578125" style="1"/>
    <col min="8966" max="8966" width="18.5703125" style="1" customWidth="1"/>
    <col min="8967" max="8967" width="9.85546875" style="1" customWidth="1"/>
    <col min="8968" max="8968" width="12.7109375" style="1" customWidth="1"/>
    <col min="8969" max="9216" width="11.42578125" style="1"/>
    <col min="9217" max="9217" width="6.85546875" style="1" customWidth="1"/>
    <col min="9218" max="9218" width="23.42578125" style="1" customWidth="1"/>
    <col min="9219" max="9219" width="16.85546875" style="1" customWidth="1"/>
    <col min="9220" max="9220" width="16" style="1" customWidth="1"/>
    <col min="9221" max="9221" width="11.42578125" style="1"/>
    <col min="9222" max="9222" width="18.5703125" style="1" customWidth="1"/>
    <col min="9223" max="9223" width="9.85546875" style="1" customWidth="1"/>
    <col min="9224" max="9224" width="12.7109375" style="1" customWidth="1"/>
    <col min="9225" max="9472" width="11.42578125" style="1"/>
    <col min="9473" max="9473" width="6.85546875" style="1" customWidth="1"/>
    <col min="9474" max="9474" width="23.42578125" style="1" customWidth="1"/>
    <col min="9475" max="9475" width="16.85546875" style="1" customWidth="1"/>
    <col min="9476" max="9476" width="16" style="1" customWidth="1"/>
    <col min="9477" max="9477" width="11.42578125" style="1"/>
    <col min="9478" max="9478" width="18.5703125" style="1" customWidth="1"/>
    <col min="9479" max="9479" width="9.85546875" style="1" customWidth="1"/>
    <col min="9480" max="9480" width="12.7109375" style="1" customWidth="1"/>
    <col min="9481" max="9728" width="11.42578125" style="1"/>
    <col min="9729" max="9729" width="6.85546875" style="1" customWidth="1"/>
    <col min="9730" max="9730" width="23.42578125" style="1" customWidth="1"/>
    <col min="9731" max="9731" width="16.85546875" style="1" customWidth="1"/>
    <col min="9732" max="9732" width="16" style="1" customWidth="1"/>
    <col min="9733" max="9733" width="11.42578125" style="1"/>
    <col min="9734" max="9734" width="18.5703125" style="1" customWidth="1"/>
    <col min="9735" max="9735" width="9.85546875" style="1" customWidth="1"/>
    <col min="9736" max="9736" width="12.7109375" style="1" customWidth="1"/>
    <col min="9737" max="9984" width="11.42578125" style="1"/>
    <col min="9985" max="9985" width="6.85546875" style="1" customWidth="1"/>
    <col min="9986" max="9986" width="23.42578125" style="1" customWidth="1"/>
    <col min="9987" max="9987" width="16.85546875" style="1" customWidth="1"/>
    <col min="9988" max="9988" width="16" style="1" customWidth="1"/>
    <col min="9989" max="9989" width="11.42578125" style="1"/>
    <col min="9990" max="9990" width="18.5703125" style="1" customWidth="1"/>
    <col min="9991" max="9991" width="9.85546875" style="1" customWidth="1"/>
    <col min="9992" max="9992" width="12.7109375" style="1" customWidth="1"/>
    <col min="9993" max="10240" width="11.42578125" style="1"/>
    <col min="10241" max="10241" width="6.85546875" style="1" customWidth="1"/>
    <col min="10242" max="10242" width="23.42578125" style="1" customWidth="1"/>
    <col min="10243" max="10243" width="16.85546875" style="1" customWidth="1"/>
    <col min="10244" max="10244" width="16" style="1" customWidth="1"/>
    <col min="10245" max="10245" width="11.42578125" style="1"/>
    <col min="10246" max="10246" width="18.5703125" style="1" customWidth="1"/>
    <col min="10247" max="10247" width="9.85546875" style="1" customWidth="1"/>
    <col min="10248" max="10248" width="12.7109375" style="1" customWidth="1"/>
    <col min="10249" max="10496" width="11.42578125" style="1"/>
    <col min="10497" max="10497" width="6.85546875" style="1" customWidth="1"/>
    <col min="10498" max="10498" width="23.42578125" style="1" customWidth="1"/>
    <col min="10499" max="10499" width="16.85546875" style="1" customWidth="1"/>
    <col min="10500" max="10500" width="16" style="1" customWidth="1"/>
    <col min="10501" max="10501" width="11.42578125" style="1"/>
    <col min="10502" max="10502" width="18.5703125" style="1" customWidth="1"/>
    <col min="10503" max="10503" width="9.85546875" style="1" customWidth="1"/>
    <col min="10504" max="10504" width="12.7109375" style="1" customWidth="1"/>
    <col min="10505" max="10752" width="11.42578125" style="1"/>
    <col min="10753" max="10753" width="6.85546875" style="1" customWidth="1"/>
    <col min="10754" max="10754" width="23.42578125" style="1" customWidth="1"/>
    <col min="10755" max="10755" width="16.85546875" style="1" customWidth="1"/>
    <col min="10756" max="10756" width="16" style="1" customWidth="1"/>
    <col min="10757" max="10757" width="11.42578125" style="1"/>
    <col min="10758" max="10758" width="18.5703125" style="1" customWidth="1"/>
    <col min="10759" max="10759" width="9.85546875" style="1" customWidth="1"/>
    <col min="10760" max="10760" width="12.7109375" style="1" customWidth="1"/>
    <col min="10761" max="11008" width="11.42578125" style="1"/>
    <col min="11009" max="11009" width="6.85546875" style="1" customWidth="1"/>
    <col min="11010" max="11010" width="23.42578125" style="1" customWidth="1"/>
    <col min="11011" max="11011" width="16.85546875" style="1" customWidth="1"/>
    <col min="11012" max="11012" width="16" style="1" customWidth="1"/>
    <col min="11013" max="11013" width="11.42578125" style="1"/>
    <col min="11014" max="11014" width="18.5703125" style="1" customWidth="1"/>
    <col min="11015" max="11015" width="9.85546875" style="1" customWidth="1"/>
    <col min="11016" max="11016" width="12.7109375" style="1" customWidth="1"/>
    <col min="11017" max="11264" width="11.42578125" style="1"/>
    <col min="11265" max="11265" width="6.85546875" style="1" customWidth="1"/>
    <col min="11266" max="11266" width="23.42578125" style="1" customWidth="1"/>
    <col min="11267" max="11267" width="16.85546875" style="1" customWidth="1"/>
    <col min="11268" max="11268" width="16" style="1" customWidth="1"/>
    <col min="11269" max="11269" width="11.42578125" style="1"/>
    <col min="11270" max="11270" width="18.5703125" style="1" customWidth="1"/>
    <col min="11271" max="11271" width="9.85546875" style="1" customWidth="1"/>
    <col min="11272" max="11272" width="12.7109375" style="1" customWidth="1"/>
    <col min="11273" max="11520" width="11.42578125" style="1"/>
    <col min="11521" max="11521" width="6.85546875" style="1" customWidth="1"/>
    <col min="11522" max="11522" width="23.42578125" style="1" customWidth="1"/>
    <col min="11523" max="11523" width="16.85546875" style="1" customWidth="1"/>
    <col min="11524" max="11524" width="16" style="1" customWidth="1"/>
    <col min="11525" max="11525" width="11.42578125" style="1"/>
    <col min="11526" max="11526" width="18.5703125" style="1" customWidth="1"/>
    <col min="11527" max="11527" width="9.85546875" style="1" customWidth="1"/>
    <col min="11528" max="11528" width="12.7109375" style="1" customWidth="1"/>
    <col min="11529" max="11776" width="11.42578125" style="1"/>
    <col min="11777" max="11777" width="6.85546875" style="1" customWidth="1"/>
    <col min="11778" max="11778" width="23.42578125" style="1" customWidth="1"/>
    <col min="11779" max="11779" width="16.85546875" style="1" customWidth="1"/>
    <col min="11780" max="11780" width="16" style="1" customWidth="1"/>
    <col min="11781" max="11781" width="11.42578125" style="1"/>
    <col min="11782" max="11782" width="18.5703125" style="1" customWidth="1"/>
    <col min="11783" max="11783" width="9.85546875" style="1" customWidth="1"/>
    <col min="11784" max="11784" width="12.7109375" style="1" customWidth="1"/>
    <col min="11785" max="12032" width="11.42578125" style="1"/>
    <col min="12033" max="12033" width="6.85546875" style="1" customWidth="1"/>
    <col min="12034" max="12034" width="23.42578125" style="1" customWidth="1"/>
    <col min="12035" max="12035" width="16.85546875" style="1" customWidth="1"/>
    <col min="12036" max="12036" width="16" style="1" customWidth="1"/>
    <col min="12037" max="12037" width="11.42578125" style="1"/>
    <col min="12038" max="12038" width="18.5703125" style="1" customWidth="1"/>
    <col min="12039" max="12039" width="9.85546875" style="1" customWidth="1"/>
    <col min="12040" max="12040" width="12.7109375" style="1" customWidth="1"/>
    <col min="12041" max="12288" width="11.42578125" style="1"/>
    <col min="12289" max="12289" width="6.85546875" style="1" customWidth="1"/>
    <col min="12290" max="12290" width="23.42578125" style="1" customWidth="1"/>
    <col min="12291" max="12291" width="16.85546875" style="1" customWidth="1"/>
    <col min="12292" max="12292" width="16" style="1" customWidth="1"/>
    <col min="12293" max="12293" width="11.42578125" style="1"/>
    <col min="12294" max="12294" width="18.5703125" style="1" customWidth="1"/>
    <col min="12295" max="12295" width="9.85546875" style="1" customWidth="1"/>
    <col min="12296" max="12296" width="12.7109375" style="1" customWidth="1"/>
    <col min="12297" max="12544" width="11.42578125" style="1"/>
    <col min="12545" max="12545" width="6.85546875" style="1" customWidth="1"/>
    <col min="12546" max="12546" width="23.42578125" style="1" customWidth="1"/>
    <col min="12547" max="12547" width="16.85546875" style="1" customWidth="1"/>
    <col min="12548" max="12548" width="16" style="1" customWidth="1"/>
    <col min="12549" max="12549" width="11.42578125" style="1"/>
    <col min="12550" max="12550" width="18.5703125" style="1" customWidth="1"/>
    <col min="12551" max="12551" width="9.85546875" style="1" customWidth="1"/>
    <col min="12552" max="12552" width="12.7109375" style="1" customWidth="1"/>
    <col min="12553" max="12800" width="11.42578125" style="1"/>
    <col min="12801" max="12801" width="6.85546875" style="1" customWidth="1"/>
    <col min="12802" max="12802" width="23.42578125" style="1" customWidth="1"/>
    <col min="12803" max="12803" width="16.85546875" style="1" customWidth="1"/>
    <col min="12804" max="12804" width="16" style="1" customWidth="1"/>
    <col min="12805" max="12805" width="11.42578125" style="1"/>
    <col min="12806" max="12806" width="18.5703125" style="1" customWidth="1"/>
    <col min="12807" max="12807" width="9.85546875" style="1" customWidth="1"/>
    <col min="12808" max="12808" width="12.7109375" style="1" customWidth="1"/>
    <col min="12809" max="13056" width="11.42578125" style="1"/>
    <col min="13057" max="13057" width="6.85546875" style="1" customWidth="1"/>
    <col min="13058" max="13058" width="23.42578125" style="1" customWidth="1"/>
    <col min="13059" max="13059" width="16.85546875" style="1" customWidth="1"/>
    <col min="13060" max="13060" width="16" style="1" customWidth="1"/>
    <col min="13061" max="13061" width="11.42578125" style="1"/>
    <col min="13062" max="13062" width="18.5703125" style="1" customWidth="1"/>
    <col min="13063" max="13063" width="9.85546875" style="1" customWidth="1"/>
    <col min="13064" max="13064" width="12.7109375" style="1" customWidth="1"/>
    <col min="13065" max="13312" width="11.42578125" style="1"/>
    <col min="13313" max="13313" width="6.85546875" style="1" customWidth="1"/>
    <col min="13314" max="13314" width="23.42578125" style="1" customWidth="1"/>
    <col min="13315" max="13315" width="16.85546875" style="1" customWidth="1"/>
    <col min="13316" max="13316" width="16" style="1" customWidth="1"/>
    <col min="13317" max="13317" width="11.42578125" style="1"/>
    <col min="13318" max="13318" width="18.5703125" style="1" customWidth="1"/>
    <col min="13319" max="13319" width="9.85546875" style="1" customWidth="1"/>
    <col min="13320" max="13320" width="12.7109375" style="1" customWidth="1"/>
    <col min="13321" max="13568" width="11.42578125" style="1"/>
    <col min="13569" max="13569" width="6.85546875" style="1" customWidth="1"/>
    <col min="13570" max="13570" width="23.42578125" style="1" customWidth="1"/>
    <col min="13571" max="13571" width="16.85546875" style="1" customWidth="1"/>
    <col min="13572" max="13572" width="16" style="1" customWidth="1"/>
    <col min="13573" max="13573" width="11.42578125" style="1"/>
    <col min="13574" max="13574" width="18.5703125" style="1" customWidth="1"/>
    <col min="13575" max="13575" width="9.85546875" style="1" customWidth="1"/>
    <col min="13576" max="13576" width="12.7109375" style="1" customWidth="1"/>
    <col min="13577" max="13824" width="11.42578125" style="1"/>
    <col min="13825" max="13825" width="6.85546875" style="1" customWidth="1"/>
    <col min="13826" max="13826" width="23.42578125" style="1" customWidth="1"/>
    <col min="13827" max="13827" width="16.85546875" style="1" customWidth="1"/>
    <col min="13828" max="13828" width="16" style="1" customWidth="1"/>
    <col min="13829" max="13829" width="11.42578125" style="1"/>
    <col min="13830" max="13830" width="18.5703125" style="1" customWidth="1"/>
    <col min="13831" max="13831" width="9.85546875" style="1" customWidth="1"/>
    <col min="13832" max="13832" width="12.7109375" style="1" customWidth="1"/>
    <col min="13833" max="14080" width="11.42578125" style="1"/>
    <col min="14081" max="14081" width="6.85546875" style="1" customWidth="1"/>
    <col min="14082" max="14082" width="23.42578125" style="1" customWidth="1"/>
    <col min="14083" max="14083" width="16.85546875" style="1" customWidth="1"/>
    <col min="14084" max="14084" width="16" style="1" customWidth="1"/>
    <col min="14085" max="14085" width="11.42578125" style="1"/>
    <col min="14086" max="14086" width="18.5703125" style="1" customWidth="1"/>
    <col min="14087" max="14087" width="9.85546875" style="1" customWidth="1"/>
    <col min="14088" max="14088" width="12.7109375" style="1" customWidth="1"/>
    <col min="14089" max="14336" width="11.42578125" style="1"/>
    <col min="14337" max="14337" width="6.85546875" style="1" customWidth="1"/>
    <col min="14338" max="14338" width="23.42578125" style="1" customWidth="1"/>
    <col min="14339" max="14339" width="16.85546875" style="1" customWidth="1"/>
    <col min="14340" max="14340" width="16" style="1" customWidth="1"/>
    <col min="14341" max="14341" width="11.42578125" style="1"/>
    <col min="14342" max="14342" width="18.5703125" style="1" customWidth="1"/>
    <col min="14343" max="14343" width="9.85546875" style="1" customWidth="1"/>
    <col min="14344" max="14344" width="12.7109375" style="1" customWidth="1"/>
    <col min="14345" max="14592" width="11.42578125" style="1"/>
    <col min="14593" max="14593" width="6.85546875" style="1" customWidth="1"/>
    <col min="14594" max="14594" width="23.42578125" style="1" customWidth="1"/>
    <col min="14595" max="14595" width="16.85546875" style="1" customWidth="1"/>
    <col min="14596" max="14596" width="16" style="1" customWidth="1"/>
    <col min="14597" max="14597" width="11.42578125" style="1"/>
    <col min="14598" max="14598" width="18.5703125" style="1" customWidth="1"/>
    <col min="14599" max="14599" width="9.85546875" style="1" customWidth="1"/>
    <col min="14600" max="14600" width="12.7109375" style="1" customWidth="1"/>
    <col min="14601" max="14848" width="11.42578125" style="1"/>
    <col min="14849" max="14849" width="6.85546875" style="1" customWidth="1"/>
    <col min="14850" max="14850" width="23.42578125" style="1" customWidth="1"/>
    <col min="14851" max="14851" width="16.85546875" style="1" customWidth="1"/>
    <col min="14852" max="14852" width="16" style="1" customWidth="1"/>
    <col min="14853" max="14853" width="11.42578125" style="1"/>
    <col min="14854" max="14854" width="18.5703125" style="1" customWidth="1"/>
    <col min="14855" max="14855" width="9.85546875" style="1" customWidth="1"/>
    <col min="14856" max="14856" width="12.7109375" style="1" customWidth="1"/>
    <col min="14857" max="15104" width="11.42578125" style="1"/>
    <col min="15105" max="15105" width="6.85546875" style="1" customWidth="1"/>
    <col min="15106" max="15106" width="23.42578125" style="1" customWidth="1"/>
    <col min="15107" max="15107" width="16.85546875" style="1" customWidth="1"/>
    <col min="15108" max="15108" width="16" style="1" customWidth="1"/>
    <col min="15109" max="15109" width="11.42578125" style="1"/>
    <col min="15110" max="15110" width="18.5703125" style="1" customWidth="1"/>
    <col min="15111" max="15111" width="9.85546875" style="1" customWidth="1"/>
    <col min="15112" max="15112" width="12.7109375" style="1" customWidth="1"/>
    <col min="15113" max="15360" width="11.42578125" style="1"/>
    <col min="15361" max="15361" width="6.85546875" style="1" customWidth="1"/>
    <col min="15362" max="15362" width="23.42578125" style="1" customWidth="1"/>
    <col min="15363" max="15363" width="16.85546875" style="1" customWidth="1"/>
    <col min="15364" max="15364" width="16" style="1" customWidth="1"/>
    <col min="15365" max="15365" width="11.42578125" style="1"/>
    <col min="15366" max="15366" width="18.5703125" style="1" customWidth="1"/>
    <col min="15367" max="15367" width="9.85546875" style="1" customWidth="1"/>
    <col min="15368" max="15368" width="12.7109375" style="1" customWidth="1"/>
    <col min="15369" max="15616" width="11.42578125" style="1"/>
    <col min="15617" max="15617" width="6.85546875" style="1" customWidth="1"/>
    <col min="15618" max="15618" width="23.42578125" style="1" customWidth="1"/>
    <col min="15619" max="15619" width="16.85546875" style="1" customWidth="1"/>
    <col min="15620" max="15620" width="16" style="1" customWidth="1"/>
    <col min="15621" max="15621" width="11.42578125" style="1"/>
    <col min="15622" max="15622" width="18.5703125" style="1" customWidth="1"/>
    <col min="15623" max="15623" width="9.85546875" style="1" customWidth="1"/>
    <col min="15624" max="15624" width="12.7109375" style="1" customWidth="1"/>
    <col min="15625" max="15872" width="11.42578125" style="1"/>
    <col min="15873" max="15873" width="6.85546875" style="1" customWidth="1"/>
    <col min="15874" max="15874" width="23.42578125" style="1" customWidth="1"/>
    <col min="15875" max="15875" width="16.85546875" style="1" customWidth="1"/>
    <col min="15876" max="15876" width="16" style="1" customWidth="1"/>
    <col min="15877" max="15877" width="11.42578125" style="1"/>
    <col min="15878" max="15878" width="18.5703125" style="1" customWidth="1"/>
    <col min="15879" max="15879" width="9.85546875" style="1" customWidth="1"/>
    <col min="15880" max="15880" width="12.7109375" style="1" customWidth="1"/>
    <col min="15881" max="16128" width="11.42578125" style="1"/>
    <col min="16129" max="16129" width="6.85546875" style="1" customWidth="1"/>
    <col min="16130" max="16130" width="23.42578125" style="1" customWidth="1"/>
    <col min="16131" max="16131" width="16.85546875" style="1" customWidth="1"/>
    <col min="16132" max="16132" width="16" style="1" customWidth="1"/>
    <col min="16133" max="16133" width="11.42578125" style="1"/>
    <col min="16134" max="16134" width="18.5703125" style="1" customWidth="1"/>
    <col min="16135" max="16135" width="9.85546875" style="1" customWidth="1"/>
    <col min="16136" max="16136" width="12.7109375" style="1" customWidth="1"/>
    <col min="16137" max="16384" width="11.42578125" style="1"/>
  </cols>
  <sheetData>
    <row r="2" spans="2:9" x14ac:dyDescent="0.2">
      <c r="B2" s="368" t="s">
        <v>318</v>
      </c>
    </row>
    <row r="3" spans="2:9" ht="13.5" thickBot="1" x14ac:dyDescent="0.25"/>
    <row r="4" spans="2:9" x14ac:dyDescent="0.2">
      <c r="B4" s="369" t="s">
        <v>319</v>
      </c>
      <c r="C4" s="370" t="s">
        <v>320</v>
      </c>
      <c r="D4" s="370" t="s">
        <v>321</v>
      </c>
      <c r="E4" s="370" t="s">
        <v>322</v>
      </c>
      <c r="F4" s="370" t="s">
        <v>323</v>
      </c>
      <c r="G4" s="370" t="s">
        <v>322</v>
      </c>
      <c r="H4" s="370" t="s">
        <v>324</v>
      </c>
      <c r="I4" s="371" t="s">
        <v>322</v>
      </c>
    </row>
    <row r="5" spans="2:9" ht="13.5" thickBot="1" x14ac:dyDescent="0.25">
      <c r="B5" s="372"/>
      <c r="C5" s="388"/>
      <c r="D5" s="373" t="s">
        <v>325</v>
      </c>
      <c r="E5" s="373" t="s">
        <v>326</v>
      </c>
      <c r="F5" s="373" t="s">
        <v>327</v>
      </c>
      <c r="G5" s="373"/>
      <c r="H5" s="373" t="s">
        <v>328</v>
      </c>
      <c r="I5" s="374"/>
    </row>
    <row r="6" spans="2:9" ht="13.5" thickBot="1" x14ac:dyDescent="0.25"/>
    <row r="7" spans="2:9" ht="13.5" thickBot="1" x14ac:dyDescent="0.25">
      <c r="B7" s="375" t="s">
        <v>329</v>
      </c>
      <c r="C7" s="389">
        <f>Estructural!L27+Estructural!L28+H.Ciclopeo!C12</f>
        <v>5.7560000000000002</v>
      </c>
      <c r="D7" s="376">
        <v>200</v>
      </c>
      <c r="E7" s="377">
        <f xml:space="preserve"> C7*D7</f>
        <v>1151.2</v>
      </c>
      <c r="F7" s="378"/>
      <c r="G7" s="378"/>
      <c r="H7" s="378"/>
      <c r="I7" s="379"/>
    </row>
    <row r="8" spans="2:9" ht="13.5" thickBot="1" x14ac:dyDescent="0.25">
      <c r="B8" s="380"/>
      <c r="C8" s="378"/>
      <c r="D8" s="378"/>
      <c r="E8" s="378"/>
      <c r="F8" s="378"/>
      <c r="G8" s="378"/>
      <c r="H8" s="378"/>
      <c r="I8" s="379"/>
    </row>
    <row r="9" spans="2:9" ht="13.5" thickBot="1" x14ac:dyDescent="0.25">
      <c r="B9" s="381" t="s">
        <v>330</v>
      </c>
      <c r="C9" s="390">
        <f>C7</f>
        <v>5.7560000000000002</v>
      </c>
      <c r="D9" s="382"/>
      <c r="E9" s="382"/>
      <c r="F9" s="383">
        <v>120</v>
      </c>
      <c r="G9" s="384">
        <f>C9*F9</f>
        <v>690.72</v>
      </c>
      <c r="H9" s="382"/>
      <c r="I9" s="385"/>
    </row>
    <row r="10" spans="2:9" ht="13.5" thickBot="1" x14ac:dyDescent="0.25">
      <c r="B10" s="380"/>
      <c r="C10" s="378"/>
      <c r="D10" s="378"/>
      <c r="E10" s="378"/>
      <c r="F10" s="378"/>
      <c r="G10" s="378"/>
      <c r="H10" s="378"/>
      <c r="I10" s="379"/>
    </row>
    <row r="11" spans="2:9" ht="13.5" thickBot="1" x14ac:dyDescent="0.25">
      <c r="B11" s="381" t="s">
        <v>331</v>
      </c>
      <c r="C11" s="390">
        <f>C7</f>
        <v>5.7560000000000002</v>
      </c>
      <c r="D11" s="382"/>
      <c r="E11" s="382"/>
      <c r="F11" s="382"/>
      <c r="G11" s="382"/>
      <c r="H11" s="383">
        <v>2.3E-2</v>
      </c>
      <c r="I11" s="386">
        <f>C11*H11</f>
        <v>0.13238800000000001</v>
      </c>
    </row>
    <row r="12" spans="2:9" x14ac:dyDescent="0.2">
      <c r="C12" s="387"/>
      <c r="D12" s="387"/>
      <c r="E12" s="387"/>
      <c r="F12" s="387"/>
      <c r="G12" s="387"/>
      <c r="H12" s="387"/>
      <c r="I12" s="387"/>
    </row>
  </sheetData>
  <pageMargins left="0.75" right="0.75" top="1" bottom="1" header="0" footer="0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B3:F16"/>
  <sheetViews>
    <sheetView workbookViewId="0">
      <selection activeCell="B18" sqref="B18"/>
    </sheetView>
  </sheetViews>
  <sheetFormatPr baseColWidth="10" defaultRowHeight="12.75" x14ac:dyDescent="0.2"/>
  <cols>
    <col min="1" max="1" width="3.140625" style="1" customWidth="1"/>
    <col min="2" max="2" width="35.140625" style="1" customWidth="1"/>
    <col min="3" max="3" width="11.42578125" style="1"/>
    <col min="4" max="4" width="14.42578125" style="1" customWidth="1"/>
    <col min="5" max="5" width="14.140625" style="1" customWidth="1"/>
    <col min="6" max="257" width="11.42578125" style="1"/>
    <col min="258" max="258" width="35.140625" style="1" customWidth="1"/>
    <col min="259" max="259" width="11.42578125" style="1"/>
    <col min="260" max="260" width="14.42578125" style="1" customWidth="1"/>
    <col min="261" max="261" width="14.140625" style="1" customWidth="1"/>
    <col min="262" max="513" width="11.42578125" style="1"/>
    <col min="514" max="514" width="35.140625" style="1" customWidth="1"/>
    <col min="515" max="515" width="11.42578125" style="1"/>
    <col min="516" max="516" width="14.42578125" style="1" customWidth="1"/>
    <col min="517" max="517" width="14.140625" style="1" customWidth="1"/>
    <col min="518" max="769" width="11.42578125" style="1"/>
    <col min="770" max="770" width="35.140625" style="1" customWidth="1"/>
    <col min="771" max="771" width="11.42578125" style="1"/>
    <col min="772" max="772" width="14.42578125" style="1" customWidth="1"/>
    <col min="773" max="773" width="14.140625" style="1" customWidth="1"/>
    <col min="774" max="1025" width="11.42578125" style="1"/>
    <col min="1026" max="1026" width="35.140625" style="1" customWidth="1"/>
    <col min="1027" max="1027" width="11.42578125" style="1"/>
    <col min="1028" max="1028" width="14.42578125" style="1" customWidth="1"/>
    <col min="1029" max="1029" width="14.140625" style="1" customWidth="1"/>
    <col min="1030" max="1281" width="11.42578125" style="1"/>
    <col min="1282" max="1282" width="35.140625" style="1" customWidth="1"/>
    <col min="1283" max="1283" width="11.42578125" style="1"/>
    <col min="1284" max="1284" width="14.42578125" style="1" customWidth="1"/>
    <col min="1285" max="1285" width="14.140625" style="1" customWidth="1"/>
    <col min="1286" max="1537" width="11.42578125" style="1"/>
    <col min="1538" max="1538" width="35.140625" style="1" customWidth="1"/>
    <col min="1539" max="1539" width="11.42578125" style="1"/>
    <col min="1540" max="1540" width="14.42578125" style="1" customWidth="1"/>
    <col min="1541" max="1541" width="14.140625" style="1" customWidth="1"/>
    <col min="1542" max="1793" width="11.42578125" style="1"/>
    <col min="1794" max="1794" width="35.140625" style="1" customWidth="1"/>
    <col min="1795" max="1795" width="11.42578125" style="1"/>
    <col min="1796" max="1796" width="14.42578125" style="1" customWidth="1"/>
    <col min="1797" max="1797" width="14.140625" style="1" customWidth="1"/>
    <col min="1798" max="2049" width="11.42578125" style="1"/>
    <col min="2050" max="2050" width="35.140625" style="1" customWidth="1"/>
    <col min="2051" max="2051" width="11.42578125" style="1"/>
    <col min="2052" max="2052" width="14.42578125" style="1" customWidth="1"/>
    <col min="2053" max="2053" width="14.140625" style="1" customWidth="1"/>
    <col min="2054" max="2305" width="11.42578125" style="1"/>
    <col min="2306" max="2306" width="35.140625" style="1" customWidth="1"/>
    <col min="2307" max="2307" width="11.42578125" style="1"/>
    <col min="2308" max="2308" width="14.42578125" style="1" customWidth="1"/>
    <col min="2309" max="2309" width="14.140625" style="1" customWidth="1"/>
    <col min="2310" max="2561" width="11.42578125" style="1"/>
    <col min="2562" max="2562" width="35.140625" style="1" customWidth="1"/>
    <col min="2563" max="2563" width="11.42578125" style="1"/>
    <col min="2564" max="2564" width="14.42578125" style="1" customWidth="1"/>
    <col min="2565" max="2565" width="14.140625" style="1" customWidth="1"/>
    <col min="2566" max="2817" width="11.42578125" style="1"/>
    <col min="2818" max="2818" width="35.140625" style="1" customWidth="1"/>
    <col min="2819" max="2819" width="11.42578125" style="1"/>
    <col min="2820" max="2820" width="14.42578125" style="1" customWidth="1"/>
    <col min="2821" max="2821" width="14.140625" style="1" customWidth="1"/>
    <col min="2822" max="3073" width="11.42578125" style="1"/>
    <col min="3074" max="3074" width="35.140625" style="1" customWidth="1"/>
    <col min="3075" max="3075" width="11.42578125" style="1"/>
    <col min="3076" max="3076" width="14.42578125" style="1" customWidth="1"/>
    <col min="3077" max="3077" width="14.140625" style="1" customWidth="1"/>
    <col min="3078" max="3329" width="11.42578125" style="1"/>
    <col min="3330" max="3330" width="35.140625" style="1" customWidth="1"/>
    <col min="3331" max="3331" width="11.42578125" style="1"/>
    <col min="3332" max="3332" width="14.42578125" style="1" customWidth="1"/>
    <col min="3333" max="3333" width="14.140625" style="1" customWidth="1"/>
    <col min="3334" max="3585" width="11.42578125" style="1"/>
    <col min="3586" max="3586" width="35.140625" style="1" customWidth="1"/>
    <col min="3587" max="3587" width="11.42578125" style="1"/>
    <col min="3588" max="3588" width="14.42578125" style="1" customWidth="1"/>
    <col min="3589" max="3589" width="14.140625" style="1" customWidth="1"/>
    <col min="3590" max="3841" width="11.42578125" style="1"/>
    <col min="3842" max="3842" width="35.140625" style="1" customWidth="1"/>
    <col min="3843" max="3843" width="11.42578125" style="1"/>
    <col min="3844" max="3844" width="14.42578125" style="1" customWidth="1"/>
    <col min="3845" max="3845" width="14.140625" style="1" customWidth="1"/>
    <col min="3846" max="4097" width="11.42578125" style="1"/>
    <col min="4098" max="4098" width="35.140625" style="1" customWidth="1"/>
    <col min="4099" max="4099" width="11.42578125" style="1"/>
    <col min="4100" max="4100" width="14.42578125" style="1" customWidth="1"/>
    <col min="4101" max="4101" width="14.140625" style="1" customWidth="1"/>
    <col min="4102" max="4353" width="11.42578125" style="1"/>
    <col min="4354" max="4354" width="35.140625" style="1" customWidth="1"/>
    <col min="4355" max="4355" width="11.42578125" style="1"/>
    <col min="4356" max="4356" width="14.42578125" style="1" customWidth="1"/>
    <col min="4357" max="4357" width="14.140625" style="1" customWidth="1"/>
    <col min="4358" max="4609" width="11.42578125" style="1"/>
    <col min="4610" max="4610" width="35.140625" style="1" customWidth="1"/>
    <col min="4611" max="4611" width="11.42578125" style="1"/>
    <col min="4612" max="4612" width="14.42578125" style="1" customWidth="1"/>
    <col min="4613" max="4613" width="14.140625" style="1" customWidth="1"/>
    <col min="4614" max="4865" width="11.42578125" style="1"/>
    <col min="4866" max="4866" width="35.140625" style="1" customWidth="1"/>
    <col min="4867" max="4867" width="11.42578125" style="1"/>
    <col min="4868" max="4868" width="14.42578125" style="1" customWidth="1"/>
    <col min="4869" max="4869" width="14.140625" style="1" customWidth="1"/>
    <col min="4870" max="5121" width="11.42578125" style="1"/>
    <col min="5122" max="5122" width="35.140625" style="1" customWidth="1"/>
    <col min="5123" max="5123" width="11.42578125" style="1"/>
    <col min="5124" max="5124" width="14.42578125" style="1" customWidth="1"/>
    <col min="5125" max="5125" width="14.140625" style="1" customWidth="1"/>
    <col min="5126" max="5377" width="11.42578125" style="1"/>
    <col min="5378" max="5378" width="35.140625" style="1" customWidth="1"/>
    <col min="5379" max="5379" width="11.42578125" style="1"/>
    <col min="5380" max="5380" width="14.42578125" style="1" customWidth="1"/>
    <col min="5381" max="5381" width="14.140625" style="1" customWidth="1"/>
    <col min="5382" max="5633" width="11.42578125" style="1"/>
    <col min="5634" max="5634" width="35.140625" style="1" customWidth="1"/>
    <col min="5635" max="5635" width="11.42578125" style="1"/>
    <col min="5636" max="5636" width="14.42578125" style="1" customWidth="1"/>
    <col min="5637" max="5637" width="14.140625" style="1" customWidth="1"/>
    <col min="5638" max="5889" width="11.42578125" style="1"/>
    <col min="5890" max="5890" width="35.140625" style="1" customWidth="1"/>
    <col min="5891" max="5891" width="11.42578125" style="1"/>
    <col min="5892" max="5892" width="14.42578125" style="1" customWidth="1"/>
    <col min="5893" max="5893" width="14.140625" style="1" customWidth="1"/>
    <col min="5894" max="6145" width="11.42578125" style="1"/>
    <col min="6146" max="6146" width="35.140625" style="1" customWidth="1"/>
    <col min="6147" max="6147" width="11.42578125" style="1"/>
    <col min="6148" max="6148" width="14.42578125" style="1" customWidth="1"/>
    <col min="6149" max="6149" width="14.140625" style="1" customWidth="1"/>
    <col min="6150" max="6401" width="11.42578125" style="1"/>
    <col min="6402" max="6402" width="35.140625" style="1" customWidth="1"/>
    <col min="6403" max="6403" width="11.42578125" style="1"/>
    <col min="6404" max="6404" width="14.42578125" style="1" customWidth="1"/>
    <col min="6405" max="6405" width="14.140625" style="1" customWidth="1"/>
    <col min="6406" max="6657" width="11.42578125" style="1"/>
    <col min="6658" max="6658" width="35.140625" style="1" customWidth="1"/>
    <col min="6659" max="6659" width="11.42578125" style="1"/>
    <col min="6660" max="6660" width="14.42578125" style="1" customWidth="1"/>
    <col min="6661" max="6661" width="14.140625" style="1" customWidth="1"/>
    <col min="6662" max="6913" width="11.42578125" style="1"/>
    <col min="6914" max="6914" width="35.140625" style="1" customWidth="1"/>
    <col min="6915" max="6915" width="11.42578125" style="1"/>
    <col min="6916" max="6916" width="14.42578125" style="1" customWidth="1"/>
    <col min="6917" max="6917" width="14.140625" style="1" customWidth="1"/>
    <col min="6918" max="7169" width="11.42578125" style="1"/>
    <col min="7170" max="7170" width="35.140625" style="1" customWidth="1"/>
    <col min="7171" max="7171" width="11.42578125" style="1"/>
    <col min="7172" max="7172" width="14.42578125" style="1" customWidth="1"/>
    <col min="7173" max="7173" width="14.140625" style="1" customWidth="1"/>
    <col min="7174" max="7425" width="11.42578125" style="1"/>
    <col min="7426" max="7426" width="35.140625" style="1" customWidth="1"/>
    <col min="7427" max="7427" width="11.42578125" style="1"/>
    <col min="7428" max="7428" width="14.42578125" style="1" customWidth="1"/>
    <col min="7429" max="7429" width="14.140625" style="1" customWidth="1"/>
    <col min="7430" max="7681" width="11.42578125" style="1"/>
    <col min="7682" max="7682" width="35.140625" style="1" customWidth="1"/>
    <col min="7683" max="7683" width="11.42578125" style="1"/>
    <col min="7684" max="7684" width="14.42578125" style="1" customWidth="1"/>
    <col min="7685" max="7685" width="14.140625" style="1" customWidth="1"/>
    <col min="7686" max="7937" width="11.42578125" style="1"/>
    <col min="7938" max="7938" width="35.140625" style="1" customWidth="1"/>
    <col min="7939" max="7939" width="11.42578125" style="1"/>
    <col min="7940" max="7940" width="14.42578125" style="1" customWidth="1"/>
    <col min="7941" max="7941" width="14.140625" style="1" customWidth="1"/>
    <col min="7942" max="8193" width="11.42578125" style="1"/>
    <col min="8194" max="8194" width="35.140625" style="1" customWidth="1"/>
    <col min="8195" max="8195" width="11.42578125" style="1"/>
    <col min="8196" max="8196" width="14.42578125" style="1" customWidth="1"/>
    <col min="8197" max="8197" width="14.140625" style="1" customWidth="1"/>
    <col min="8198" max="8449" width="11.42578125" style="1"/>
    <col min="8450" max="8450" width="35.140625" style="1" customWidth="1"/>
    <col min="8451" max="8451" width="11.42578125" style="1"/>
    <col min="8452" max="8452" width="14.42578125" style="1" customWidth="1"/>
    <col min="8453" max="8453" width="14.140625" style="1" customWidth="1"/>
    <col min="8454" max="8705" width="11.42578125" style="1"/>
    <col min="8706" max="8706" width="35.140625" style="1" customWidth="1"/>
    <col min="8707" max="8707" width="11.42578125" style="1"/>
    <col min="8708" max="8708" width="14.42578125" style="1" customWidth="1"/>
    <col min="8709" max="8709" width="14.140625" style="1" customWidth="1"/>
    <col min="8710" max="8961" width="11.42578125" style="1"/>
    <col min="8962" max="8962" width="35.140625" style="1" customWidth="1"/>
    <col min="8963" max="8963" width="11.42578125" style="1"/>
    <col min="8964" max="8964" width="14.42578125" style="1" customWidth="1"/>
    <col min="8965" max="8965" width="14.140625" style="1" customWidth="1"/>
    <col min="8966" max="9217" width="11.42578125" style="1"/>
    <col min="9218" max="9218" width="35.140625" style="1" customWidth="1"/>
    <col min="9219" max="9219" width="11.42578125" style="1"/>
    <col min="9220" max="9220" width="14.42578125" style="1" customWidth="1"/>
    <col min="9221" max="9221" width="14.140625" style="1" customWidth="1"/>
    <col min="9222" max="9473" width="11.42578125" style="1"/>
    <col min="9474" max="9474" width="35.140625" style="1" customWidth="1"/>
    <col min="9475" max="9475" width="11.42578125" style="1"/>
    <col min="9476" max="9476" width="14.42578125" style="1" customWidth="1"/>
    <col min="9477" max="9477" width="14.140625" style="1" customWidth="1"/>
    <col min="9478" max="9729" width="11.42578125" style="1"/>
    <col min="9730" max="9730" width="35.140625" style="1" customWidth="1"/>
    <col min="9731" max="9731" width="11.42578125" style="1"/>
    <col min="9732" max="9732" width="14.42578125" style="1" customWidth="1"/>
    <col min="9733" max="9733" width="14.140625" style="1" customWidth="1"/>
    <col min="9734" max="9985" width="11.42578125" style="1"/>
    <col min="9986" max="9986" width="35.140625" style="1" customWidth="1"/>
    <col min="9987" max="9987" width="11.42578125" style="1"/>
    <col min="9988" max="9988" width="14.42578125" style="1" customWidth="1"/>
    <col min="9989" max="9989" width="14.140625" style="1" customWidth="1"/>
    <col min="9990" max="10241" width="11.42578125" style="1"/>
    <col min="10242" max="10242" width="35.140625" style="1" customWidth="1"/>
    <col min="10243" max="10243" width="11.42578125" style="1"/>
    <col min="10244" max="10244" width="14.42578125" style="1" customWidth="1"/>
    <col min="10245" max="10245" width="14.140625" style="1" customWidth="1"/>
    <col min="10246" max="10497" width="11.42578125" style="1"/>
    <col min="10498" max="10498" width="35.140625" style="1" customWidth="1"/>
    <col min="10499" max="10499" width="11.42578125" style="1"/>
    <col min="10500" max="10500" width="14.42578125" style="1" customWidth="1"/>
    <col min="10501" max="10501" width="14.140625" style="1" customWidth="1"/>
    <col min="10502" max="10753" width="11.42578125" style="1"/>
    <col min="10754" max="10754" width="35.140625" style="1" customWidth="1"/>
    <col min="10755" max="10755" width="11.42578125" style="1"/>
    <col min="10756" max="10756" width="14.42578125" style="1" customWidth="1"/>
    <col min="10757" max="10757" width="14.140625" style="1" customWidth="1"/>
    <col min="10758" max="11009" width="11.42578125" style="1"/>
    <col min="11010" max="11010" width="35.140625" style="1" customWidth="1"/>
    <col min="11011" max="11011" width="11.42578125" style="1"/>
    <col min="11012" max="11012" width="14.42578125" style="1" customWidth="1"/>
    <col min="11013" max="11013" width="14.140625" style="1" customWidth="1"/>
    <col min="11014" max="11265" width="11.42578125" style="1"/>
    <col min="11266" max="11266" width="35.140625" style="1" customWidth="1"/>
    <col min="11267" max="11267" width="11.42578125" style="1"/>
    <col min="11268" max="11268" width="14.42578125" style="1" customWidth="1"/>
    <col min="11269" max="11269" width="14.140625" style="1" customWidth="1"/>
    <col min="11270" max="11521" width="11.42578125" style="1"/>
    <col min="11522" max="11522" width="35.140625" style="1" customWidth="1"/>
    <col min="11523" max="11523" width="11.42578125" style="1"/>
    <col min="11524" max="11524" width="14.42578125" style="1" customWidth="1"/>
    <col min="11525" max="11525" width="14.140625" style="1" customWidth="1"/>
    <col min="11526" max="11777" width="11.42578125" style="1"/>
    <col min="11778" max="11778" width="35.140625" style="1" customWidth="1"/>
    <col min="11779" max="11779" width="11.42578125" style="1"/>
    <col min="11780" max="11780" width="14.42578125" style="1" customWidth="1"/>
    <col min="11781" max="11781" width="14.140625" style="1" customWidth="1"/>
    <col min="11782" max="12033" width="11.42578125" style="1"/>
    <col min="12034" max="12034" width="35.140625" style="1" customWidth="1"/>
    <col min="12035" max="12035" width="11.42578125" style="1"/>
    <col min="12036" max="12036" width="14.42578125" style="1" customWidth="1"/>
    <col min="12037" max="12037" width="14.140625" style="1" customWidth="1"/>
    <col min="12038" max="12289" width="11.42578125" style="1"/>
    <col min="12290" max="12290" width="35.140625" style="1" customWidth="1"/>
    <col min="12291" max="12291" width="11.42578125" style="1"/>
    <col min="12292" max="12292" width="14.42578125" style="1" customWidth="1"/>
    <col min="12293" max="12293" width="14.140625" style="1" customWidth="1"/>
    <col min="12294" max="12545" width="11.42578125" style="1"/>
    <col min="12546" max="12546" width="35.140625" style="1" customWidth="1"/>
    <col min="12547" max="12547" width="11.42578125" style="1"/>
    <col min="12548" max="12548" width="14.42578125" style="1" customWidth="1"/>
    <col min="12549" max="12549" width="14.140625" style="1" customWidth="1"/>
    <col min="12550" max="12801" width="11.42578125" style="1"/>
    <col min="12802" max="12802" width="35.140625" style="1" customWidth="1"/>
    <col min="12803" max="12803" width="11.42578125" style="1"/>
    <col min="12804" max="12804" width="14.42578125" style="1" customWidth="1"/>
    <col min="12805" max="12805" width="14.140625" style="1" customWidth="1"/>
    <col min="12806" max="13057" width="11.42578125" style="1"/>
    <col min="13058" max="13058" width="35.140625" style="1" customWidth="1"/>
    <col min="13059" max="13059" width="11.42578125" style="1"/>
    <col min="13060" max="13060" width="14.42578125" style="1" customWidth="1"/>
    <col min="13061" max="13061" width="14.140625" style="1" customWidth="1"/>
    <col min="13062" max="13313" width="11.42578125" style="1"/>
    <col min="13314" max="13314" width="35.140625" style="1" customWidth="1"/>
    <col min="13315" max="13315" width="11.42578125" style="1"/>
    <col min="13316" max="13316" width="14.42578125" style="1" customWidth="1"/>
    <col min="13317" max="13317" width="14.140625" style="1" customWidth="1"/>
    <col min="13318" max="13569" width="11.42578125" style="1"/>
    <col min="13570" max="13570" width="35.140625" style="1" customWidth="1"/>
    <col min="13571" max="13571" width="11.42578125" style="1"/>
    <col min="13572" max="13572" width="14.42578125" style="1" customWidth="1"/>
    <col min="13573" max="13573" width="14.140625" style="1" customWidth="1"/>
    <col min="13574" max="13825" width="11.42578125" style="1"/>
    <col min="13826" max="13826" width="35.140625" style="1" customWidth="1"/>
    <col min="13827" max="13827" width="11.42578125" style="1"/>
    <col min="13828" max="13828" width="14.42578125" style="1" customWidth="1"/>
    <col min="13829" max="13829" width="14.140625" style="1" customWidth="1"/>
    <col min="13830" max="14081" width="11.42578125" style="1"/>
    <col min="14082" max="14082" width="35.140625" style="1" customWidth="1"/>
    <col min="14083" max="14083" width="11.42578125" style="1"/>
    <col min="14084" max="14084" width="14.42578125" style="1" customWidth="1"/>
    <col min="14085" max="14085" width="14.140625" style="1" customWidth="1"/>
    <col min="14086" max="14337" width="11.42578125" style="1"/>
    <col min="14338" max="14338" width="35.140625" style="1" customWidth="1"/>
    <col min="14339" max="14339" width="11.42578125" style="1"/>
    <col min="14340" max="14340" width="14.42578125" style="1" customWidth="1"/>
    <col min="14341" max="14341" width="14.140625" style="1" customWidth="1"/>
    <col min="14342" max="14593" width="11.42578125" style="1"/>
    <col min="14594" max="14594" width="35.140625" style="1" customWidth="1"/>
    <col min="14595" max="14595" width="11.42578125" style="1"/>
    <col min="14596" max="14596" width="14.42578125" style="1" customWidth="1"/>
    <col min="14597" max="14597" width="14.140625" style="1" customWidth="1"/>
    <col min="14598" max="14849" width="11.42578125" style="1"/>
    <col min="14850" max="14850" width="35.140625" style="1" customWidth="1"/>
    <col min="14851" max="14851" width="11.42578125" style="1"/>
    <col min="14852" max="14852" width="14.42578125" style="1" customWidth="1"/>
    <col min="14853" max="14853" width="14.140625" style="1" customWidth="1"/>
    <col min="14854" max="15105" width="11.42578125" style="1"/>
    <col min="15106" max="15106" width="35.140625" style="1" customWidth="1"/>
    <col min="15107" max="15107" width="11.42578125" style="1"/>
    <col min="15108" max="15108" width="14.42578125" style="1" customWidth="1"/>
    <col min="15109" max="15109" width="14.140625" style="1" customWidth="1"/>
    <col min="15110" max="15361" width="11.42578125" style="1"/>
    <col min="15362" max="15362" width="35.140625" style="1" customWidth="1"/>
    <col min="15363" max="15363" width="11.42578125" style="1"/>
    <col min="15364" max="15364" width="14.42578125" style="1" customWidth="1"/>
    <col min="15365" max="15365" width="14.140625" style="1" customWidth="1"/>
    <col min="15366" max="15617" width="11.42578125" style="1"/>
    <col min="15618" max="15618" width="35.140625" style="1" customWidth="1"/>
    <col min="15619" max="15619" width="11.42578125" style="1"/>
    <col min="15620" max="15620" width="14.42578125" style="1" customWidth="1"/>
    <col min="15621" max="15621" width="14.140625" style="1" customWidth="1"/>
    <col min="15622" max="15873" width="11.42578125" style="1"/>
    <col min="15874" max="15874" width="35.140625" style="1" customWidth="1"/>
    <col min="15875" max="15875" width="11.42578125" style="1"/>
    <col min="15876" max="15876" width="14.42578125" style="1" customWidth="1"/>
    <col min="15877" max="15877" width="14.140625" style="1" customWidth="1"/>
    <col min="15878" max="16129" width="11.42578125" style="1"/>
    <col min="16130" max="16130" width="35.140625" style="1" customWidth="1"/>
    <col min="16131" max="16131" width="11.42578125" style="1"/>
    <col min="16132" max="16132" width="14.42578125" style="1" customWidth="1"/>
    <col min="16133" max="16133" width="14.140625" style="1" customWidth="1"/>
    <col min="16134" max="16384" width="11.42578125" style="1"/>
  </cols>
  <sheetData>
    <row r="3" spans="2:6" ht="15" x14ac:dyDescent="0.2">
      <c r="B3" s="86" t="s">
        <v>245</v>
      </c>
      <c r="C3" s="87"/>
      <c r="D3" s="87"/>
      <c r="E3" s="87"/>
    </row>
    <row r="4" spans="2:6" ht="15.75" x14ac:dyDescent="0.25">
      <c r="B4" s="343" t="s">
        <v>246</v>
      </c>
      <c r="C4" s="344" t="s">
        <v>247</v>
      </c>
      <c r="D4" s="344" t="s">
        <v>248</v>
      </c>
      <c r="E4" s="344"/>
      <c r="F4" s="95"/>
    </row>
    <row r="5" spans="2:6" ht="15.75" x14ac:dyDescent="0.25">
      <c r="B5" s="345"/>
      <c r="C5" s="346" t="s">
        <v>249</v>
      </c>
      <c r="D5" s="346" t="s">
        <v>49</v>
      </c>
      <c r="E5" s="346" t="s">
        <v>250</v>
      </c>
      <c r="F5" s="95"/>
    </row>
    <row r="6" spans="2:6" ht="15.75" x14ac:dyDescent="0.25">
      <c r="B6" s="347" t="s">
        <v>251</v>
      </c>
      <c r="C6" s="347"/>
      <c r="D6" s="347"/>
      <c r="E6" s="347"/>
    </row>
    <row r="7" spans="2:6" ht="15.75" x14ac:dyDescent="0.25">
      <c r="B7" s="348" t="s">
        <v>252</v>
      </c>
      <c r="C7" s="349">
        <v>32</v>
      </c>
      <c r="D7" s="350">
        <v>0.33</v>
      </c>
      <c r="E7" s="351">
        <f>(C7*D7)</f>
        <v>10.56</v>
      </c>
    </row>
    <row r="8" spans="2:6" ht="15.75" x14ac:dyDescent="0.25">
      <c r="B8" s="348" t="s">
        <v>253</v>
      </c>
      <c r="C8" s="349">
        <v>32</v>
      </c>
      <c r="D8" s="350">
        <v>0.11</v>
      </c>
      <c r="E8" s="351">
        <f>(C8*D8)</f>
        <v>3.52</v>
      </c>
    </row>
    <row r="9" spans="2:6" ht="15.75" x14ac:dyDescent="0.25">
      <c r="B9" s="348" t="s">
        <v>254</v>
      </c>
      <c r="C9" s="349">
        <v>16</v>
      </c>
      <c r="D9" s="350">
        <v>0.11</v>
      </c>
      <c r="E9" s="351">
        <f>(C9*D9)</f>
        <v>1.76</v>
      </c>
    </row>
    <row r="10" spans="2:6" ht="15.75" x14ac:dyDescent="0.25">
      <c r="B10" s="352" t="s">
        <v>255</v>
      </c>
      <c r="C10" s="349">
        <v>32</v>
      </c>
      <c r="D10" s="350">
        <v>0.11</v>
      </c>
      <c r="E10" s="351">
        <f>(C10*D10)</f>
        <v>3.52</v>
      </c>
    </row>
    <row r="11" spans="2:6" ht="15.75" x14ac:dyDescent="0.25">
      <c r="B11" s="347" t="s">
        <v>256</v>
      </c>
      <c r="C11" s="353"/>
      <c r="D11" s="347" t="s">
        <v>257</v>
      </c>
      <c r="E11" s="354"/>
    </row>
    <row r="12" spans="2:6" ht="15.75" x14ac:dyDescent="0.25">
      <c r="B12" s="348" t="s">
        <v>258</v>
      </c>
      <c r="C12" s="349">
        <v>32</v>
      </c>
      <c r="D12" s="350">
        <v>1.6</v>
      </c>
      <c r="E12" s="351">
        <f>(C12*D12)</f>
        <v>51.2</v>
      </c>
    </row>
    <row r="13" spans="2:6" ht="15.75" x14ac:dyDescent="0.25">
      <c r="B13" s="348" t="s">
        <v>259</v>
      </c>
      <c r="C13" s="349"/>
      <c r="D13" s="350"/>
      <c r="E13" s="351"/>
    </row>
    <row r="14" spans="2:6" ht="15.75" x14ac:dyDescent="0.25">
      <c r="B14" s="347" t="s">
        <v>260</v>
      </c>
      <c r="C14" s="353"/>
      <c r="D14" s="355"/>
      <c r="E14" s="354"/>
    </row>
    <row r="15" spans="2:6" ht="15.75" x14ac:dyDescent="0.25">
      <c r="B15" s="352" t="s">
        <v>261</v>
      </c>
      <c r="C15" s="349">
        <v>32</v>
      </c>
      <c r="D15" s="350">
        <v>0.9</v>
      </c>
      <c r="E15" s="351">
        <f>(C15*D15)</f>
        <v>28.8</v>
      </c>
    </row>
    <row r="16" spans="2:6" ht="15.75" x14ac:dyDescent="0.25">
      <c r="B16" s="352" t="s">
        <v>262</v>
      </c>
      <c r="C16" s="349">
        <v>32</v>
      </c>
      <c r="D16" s="350">
        <v>2</v>
      </c>
      <c r="E16" s="351">
        <f>(C16*D16)</f>
        <v>64</v>
      </c>
    </row>
  </sheetData>
  <pageMargins left="0.75" right="0.75" top="1" bottom="1" header="0" footer="0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0.59999389629810485"/>
  </sheetPr>
  <dimension ref="A1:E21"/>
  <sheetViews>
    <sheetView workbookViewId="0">
      <selection activeCell="C17" sqref="C17"/>
    </sheetView>
  </sheetViews>
  <sheetFormatPr baseColWidth="10" defaultRowHeight="12.75" x14ac:dyDescent="0.2"/>
  <cols>
    <col min="1" max="1" width="29.7109375" style="1" customWidth="1"/>
    <col min="2" max="256" width="11.42578125" style="1"/>
    <col min="257" max="257" width="27.7109375" style="1" customWidth="1"/>
    <col min="258" max="512" width="11.42578125" style="1"/>
    <col min="513" max="513" width="27.7109375" style="1" customWidth="1"/>
    <col min="514" max="768" width="11.42578125" style="1"/>
    <col min="769" max="769" width="27.7109375" style="1" customWidth="1"/>
    <col min="770" max="1024" width="11.42578125" style="1"/>
    <col min="1025" max="1025" width="27.7109375" style="1" customWidth="1"/>
    <col min="1026" max="1280" width="11.42578125" style="1"/>
    <col min="1281" max="1281" width="27.7109375" style="1" customWidth="1"/>
    <col min="1282" max="1536" width="11.42578125" style="1"/>
    <col min="1537" max="1537" width="27.7109375" style="1" customWidth="1"/>
    <col min="1538" max="1792" width="11.42578125" style="1"/>
    <col min="1793" max="1793" width="27.7109375" style="1" customWidth="1"/>
    <col min="1794" max="2048" width="11.42578125" style="1"/>
    <col min="2049" max="2049" width="27.7109375" style="1" customWidth="1"/>
    <col min="2050" max="2304" width="11.42578125" style="1"/>
    <col min="2305" max="2305" width="27.7109375" style="1" customWidth="1"/>
    <col min="2306" max="2560" width="11.42578125" style="1"/>
    <col min="2561" max="2561" width="27.7109375" style="1" customWidth="1"/>
    <col min="2562" max="2816" width="11.42578125" style="1"/>
    <col min="2817" max="2817" width="27.7109375" style="1" customWidth="1"/>
    <col min="2818" max="3072" width="11.42578125" style="1"/>
    <col min="3073" max="3073" width="27.7109375" style="1" customWidth="1"/>
    <col min="3074" max="3328" width="11.42578125" style="1"/>
    <col min="3329" max="3329" width="27.7109375" style="1" customWidth="1"/>
    <col min="3330" max="3584" width="11.42578125" style="1"/>
    <col min="3585" max="3585" width="27.7109375" style="1" customWidth="1"/>
    <col min="3586" max="3840" width="11.42578125" style="1"/>
    <col min="3841" max="3841" width="27.7109375" style="1" customWidth="1"/>
    <col min="3842" max="4096" width="11.42578125" style="1"/>
    <col min="4097" max="4097" width="27.7109375" style="1" customWidth="1"/>
    <col min="4098" max="4352" width="11.42578125" style="1"/>
    <col min="4353" max="4353" width="27.7109375" style="1" customWidth="1"/>
    <col min="4354" max="4608" width="11.42578125" style="1"/>
    <col min="4609" max="4609" width="27.7109375" style="1" customWidth="1"/>
    <col min="4610" max="4864" width="11.42578125" style="1"/>
    <col min="4865" max="4865" width="27.7109375" style="1" customWidth="1"/>
    <col min="4866" max="5120" width="11.42578125" style="1"/>
    <col min="5121" max="5121" width="27.7109375" style="1" customWidth="1"/>
    <col min="5122" max="5376" width="11.42578125" style="1"/>
    <col min="5377" max="5377" width="27.7109375" style="1" customWidth="1"/>
    <col min="5378" max="5632" width="11.42578125" style="1"/>
    <col min="5633" max="5633" width="27.7109375" style="1" customWidth="1"/>
    <col min="5634" max="5888" width="11.42578125" style="1"/>
    <col min="5889" max="5889" width="27.7109375" style="1" customWidth="1"/>
    <col min="5890" max="6144" width="11.42578125" style="1"/>
    <col min="6145" max="6145" width="27.7109375" style="1" customWidth="1"/>
    <col min="6146" max="6400" width="11.42578125" style="1"/>
    <col min="6401" max="6401" width="27.7109375" style="1" customWidth="1"/>
    <col min="6402" max="6656" width="11.42578125" style="1"/>
    <col min="6657" max="6657" width="27.7109375" style="1" customWidth="1"/>
    <col min="6658" max="6912" width="11.42578125" style="1"/>
    <col min="6913" max="6913" width="27.7109375" style="1" customWidth="1"/>
    <col min="6914" max="7168" width="11.42578125" style="1"/>
    <col min="7169" max="7169" width="27.7109375" style="1" customWidth="1"/>
    <col min="7170" max="7424" width="11.42578125" style="1"/>
    <col min="7425" max="7425" width="27.7109375" style="1" customWidth="1"/>
    <col min="7426" max="7680" width="11.42578125" style="1"/>
    <col min="7681" max="7681" width="27.7109375" style="1" customWidth="1"/>
    <col min="7682" max="7936" width="11.42578125" style="1"/>
    <col min="7937" max="7937" width="27.7109375" style="1" customWidth="1"/>
    <col min="7938" max="8192" width="11.42578125" style="1"/>
    <col min="8193" max="8193" width="27.7109375" style="1" customWidth="1"/>
    <col min="8194" max="8448" width="11.42578125" style="1"/>
    <col min="8449" max="8449" width="27.7109375" style="1" customWidth="1"/>
    <col min="8450" max="8704" width="11.42578125" style="1"/>
    <col min="8705" max="8705" width="27.7109375" style="1" customWidth="1"/>
    <col min="8706" max="8960" width="11.42578125" style="1"/>
    <col min="8961" max="8961" width="27.7109375" style="1" customWidth="1"/>
    <col min="8962" max="9216" width="11.42578125" style="1"/>
    <col min="9217" max="9217" width="27.7109375" style="1" customWidth="1"/>
    <col min="9218" max="9472" width="11.42578125" style="1"/>
    <col min="9473" max="9473" width="27.7109375" style="1" customWidth="1"/>
    <col min="9474" max="9728" width="11.42578125" style="1"/>
    <col min="9729" max="9729" width="27.7109375" style="1" customWidth="1"/>
    <col min="9730" max="9984" width="11.42578125" style="1"/>
    <col min="9985" max="9985" width="27.7109375" style="1" customWidth="1"/>
    <col min="9986" max="10240" width="11.42578125" style="1"/>
    <col min="10241" max="10241" width="27.7109375" style="1" customWidth="1"/>
    <col min="10242" max="10496" width="11.42578125" style="1"/>
    <col min="10497" max="10497" width="27.7109375" style="1" customWidth="1"/>
    <col min="10498" max="10752" width="11.42578125" style="1"/>
    <col min="10753" max="10753" width="27.7109375" style="1" customWidth="1"/>
    <col min="10754" max="11008" width="11.42578125" style="1"/>
    <col min="11009" max="11009" width="27.7109375" style="1" customWidth="1"/>
    <col min="11010" max="11264" width="11.42578125" style="1"/>
    <col min="11265" max="11265" width="27.7109375" style="1" customWidth="1"/>
    <col min="11266" max="11520" width="11.42578125" style="1"/>
    <col min="11521" max="11521" width="27.7109375" style="1" customWidth="1"/>
    <col min="11522" max="11776" width="11.42578125" style="1"/>
    <col min="11777" max="11777" width="27.7109375" style="1" customWidth="1"/>
    <col min="11778" max="12032" width="11.42578125" style="1"/>
    <col min="12033" max="12033" width="27.7109375" style="1" customWidth="1"/>
    <col min="12034" max="12288" width="11.42578125" style="1"/>
    <col min="12289" max="12289" width="27.7109375" style="1" customWidth="1"/>
    <col min="12290" max="12544" width="11.42578125" style="1"/>
    <col min="12545" max="12545" width="27.7109375" style="1" customWidth="1"/>
    <col min="12546" max="12800" width="11.42578125" style="1"/>
    <col min="12801" max="12801" width="27.7109375" style="1" customWidth="1"/>
    <col min="12802" max="13056" width="11.42578125" style="1"/>
    <col min="13057" max="13057" width="27.7109375" style="1" customWidth="1"/>
    <col min="13058" max="13312" width="11.42578125" style="1"/>
    <col min="13313" max="13313" width="27.7109375" style="1" customWidth="1"/>
    <col min="13314" max="13568" width="11.42578125" style="1"/>
    <col min="13569" max="13569" width="27.7109375" style="1" customWidth="1"/>
    <col min="13570" max="13824" width="11.42578125" style="1"/>
    <col min="13825" max="13825" width="27.7109375" style="1" customWidth="1"/>
    <col min="13826" max="14080" width="11.42578125" style="1"/>
    <col min="14081" max="14081" width="27.7109375" style="1" customWidth="1"/>
    <col min="14082" max="14336" width="11.42578125" style="1"/>
    <col min="14337" max="14337" width="27.7109375" style="1" customWidth="1"/>
    <col min="14338" max="14592" width="11.42578125" style="1"/>
    <col min="14593" max="14593" width="27.7109375" style="1" customWidth="1"/>
    <col min="14594" max="14848" width="11.42578125" style="1"/>
    <col min="14849" max="14849" width="27.7109375" style="1" customWidth="1"/>
    <col min="14850" max="15104" width="11.42578125" style="1"/>
    <col min="15105" max="15105" width="27.7109375" style="1" customWidth="1"/>
    <col min="15106" max="15360" width="11.42578125" style="1"/>
    <col min="15361" max="15361" width="27.7109375" style="1" customWidth="1"/>
    <col min="15362" max="15616" width="11.42578125" style="1"/>
    <col min="15617" max="15617" width="27.7109375" style="1" customWidth="1"/>
    <col min="15618" max="15872" width="11.42578125" style="1"/>
    <col min="15873" max="15873" width="27.7109375" style="1" customWidth="1"/>
    <col min="15874" max="16128" width="11.42578125" style="1"/>
    <col min="16129" max="16129" width="27.7109375" style="1" customWidth="1"/>
    <col min="16130" max="16384" width="11.42578125" style="1"/>
  </cols>
  <sheetData>
    <row r="1" spans="1:5" ht="15" x14ac:dyDescent="0.2">
      <c r="A1" s="356" t="s">
        <v>263</v>
      </c>
    </row>
    <row r="2" spans="1:5" x14ac:dyDescent="0.2">
      <c r="A2" s="357"/>
    </row>
    <row r="3" spans="1:5" ht="15" x14ac:dyDescent="0.2">
      <c r="A3" s="356"/>
    </row>
    <row r="4" spans="1:5" x14ac:dyDescent="0.2">
      <c r="A4" s="358" t="s">
        <v>264</v>
      </c>
      <c r="B4" s="358"/>
      <c r="C4" s="358"/>
      <c r="D4" s="358"/>
      <c r="E4" s="358"/>
    </row>
    <row r="5" spans="1:5" x14ac:dyDescent="0.2">
      <c r="A5" s="456" t="s">
        <v>246</v>
      </c>
      <c r="B5" s="89" t="s">
        <v>265</v>
      </c>
      <c r="C5" s="89" t="s">
        <v>266</v>
      </c>
      <c r="D5" s="456" t="s">
        <v>233</v>
      </c>
    </row>
    <row r="6" spans="1:5" x14ac:dyDescent="0.2">
      <c r="A6" s="457"/>
      <c r="B6" s="99" t="s">
        <v>267</v>
      </c>
      <c r="C6" s="99" t="s">
        <v>268</v>
      </c>
      <c r="D6" s="457"/>
    </row>
    <row r="7" spans="1:5" x14ac:dyDescent="0.2">
      <c r="A7" s="453" t="s">
        <v>273</v>
      </c>
      <c r="B7" s="454"/>
      <c r="C7" s="454"/>
      <c r="D7" s="455"/>
    </row>
    <row r="8" spans="1:5" x14ac:dyDescent="0.2">
      <c r="A8" s="173" t="s">
        <v>274</v>
      </c>
      <c r="B8" s="111"/>
      <c r="C8" s="114">
        <v>1</v>
      </c>
      <c r="D8" s="113">
        <f>(B8*C8)</f>
        <v>0</v>
      </c>
    </row>
    <row r="9" spans="1:5" x14ac:dyDescent="0.2">
      <c r="A9" s="173" t="s">
        <v>275</v>
      </c>
      <c r="B9" s="111"/>
      <c r="C9" s="114">
        <v>1</v>
      </c>
      <c r="D9" s="113">
        <f>(B9*C9)</f>
        <v>0</v>
      </c>
    </row>
    <row r="10" spans="1:5" x14ac:dyDescent="0.2">
      <c r="A10" s="173" t="s">
        <v>276</v>
      </c>
      <c r="B10" s="111"/>
      <c r="C10" s="114">
        <v>1</v>
      </c>
      <c r="D10" s="113">
        <f>(B10*C10)</f>
        <v>0</v>
      </c>
    </row>
    <row r="11" spans="1:5" x14ac:dyDescent="0.2">
      <c r="A11" s="173" t="s">
        <v>277</v>
      </c>
      <c r="B11" s="111"/>
      <c r="C11" s="114">
        <v>0.1</v>
      </c>
      <c r="D11" s="113">
        <f>(B11*C11)</f>
        <v>0</v>
      </c>
    </row>
    <row r="12" spans="1:5" x14ac:dyDescent="0.2">
      <c r="A12" s="450" t="s">
        <v>278</v>
      </c>
      <c r="B12" s="451"/>
      <c r="C12" s="451"/>
      <c r="D12" s="452"/>
    </row>
    <row r="13" spans="1:5" x14ac:dyDescent="0.2">
      <c r="A13" s="173" t="s">
        <v>271</v>
      </c>
      <c r="B13" s="111"/>
      <c r="C13" s="114">
        <v>1</v>
      </c>
      <c r="D13" s="113">
        <f>(B13*C13)</f>
        <v>0</v>
      </c>
    </row>
    <row r="14" spans="1:5" x14ac:dyDescent="0.2">
      <c r="A14" s="173" t="s">
        <v>272</v>
      </c>
      <c r="B14" s="111"/>
      <c r="C14" s="114">
        <v>0.1</v>
      </c>
      <c r="D14" s="113">
        <f>(B14*C14)</f>
        <v>0</v>
      </c>
    </row>
    <row r="15" spans="1:5" x14ac:dyDescent="0.2">
      <c r="A15" s="173" t="s">
        <v>280</v>
      </c>
      <c r="B15" s="111"/>
      <c r="C15" s="114">
        <v>3</v>
      </c>
      <c r="D15" s="113">
        <f>(B15*C15)</f>
        <v>0</v>
      </c>
    </row>
    <row r="16" spans="1:5" x14ac:dyDescent="0.2">
      <c r="A16" s="450" t="s">
        <v>332</v>
      </c>
      <c r="B16" s="451"/>
      <c r="C16" s="451"/>
      <c r="D16" s="452"/>
    </row>
    <row r="17" spans="1:4" x14ac:dyDescent="0.2">
      <c r="A17" s="173" t="s">
        <v>282</v>
      </c>
      <c r="B17" s="111"/>
      <c r="C17" s="114">
        <v>3</v>
      </c>
      <c r="D17" s="113">
        <f>(B17*C17)</f>
        <v>0</v>
      </c>
    </row>
    <row r="18" spans="1:4" x14ac:dyDescent="0.2">
      <c r="A18" s="173" t="s">
        <v>283</v>
      </c>
      <c r="B18" s="111"/>
      <c r="C18" s="114">
        <v>1.5</v>
      </c>
      <c r="D18" s="113">
        <f>(B18*C18)</f>
        <v>0</v>
      </c>
    </row>
    <row r="19" spans="1:4" ht="13.5" thickBot="1" x14ac:dyDescent="0.25">
      <c r="A19" s="359" t="s">
        <v>284</v>
      </c>
      <c r="B19" s="360"/>
      <c r="C19" s="361">
        <v>5.5</v>
      </c>
      <c r="D19" s="362">
        <f>(B19*C19)</f>
        <v>0</v>
      </c>
    </row>
    <row r="20" spans="1:4" x14ac:dyDescent="0.2">
      <c r="A20" s="101" t="s">
        <v>285</v>
      </c>
      <c r="B20" s="127"/>
      <c r="C20" s="127"/>
      <c r="D20" s="218">
        <f>D13</f>
        <v>0</v>
      </c>
    </row>
    <row r="21" spans="1:4" x14ac:dyDescent="0.2">
      <c r="A21" s="363" t="s">
        <v>286</v>
      </c>
      <c r="B21" s="189"/>
      <c r="C21" s="189"/>
      <c r="D21" s="113">
        <f>D14</f>
        <v>0</v>
      </c>
    </row>
  </sheetData>
  <mergeCells count="5">
    <mergeCell ref="A16:D16"/>
    <mergeCell ref="A12:D12"/>
    <mergeCell ref="A7:D7"/>
    <mergeCell ref="A5:A6"/>
    <mergeCell ref="D5:D6"/>
  </mergeCells>
  <pageMargins left="0.75" right="0.75" top="1" bottom="1" header="0" footer="0"/>
  <pageSetup paperSize="8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0.39997558519241921"/>
  </sheetPr>
  <dimension ref="A1:E18"/>
  <sheetViews>
    <sheetView workbookViewId="0">
      <selection activeCell="C24" sqref="C24"/>
    </sheetView>
  </sheetViews>
  <sheetFormatPr baseColWidth="10" defaultRowHeight="12.75" x14ac:dyDescent="0.2"/>
  <cols>
    <col min="1" max="1" width="28" style="1" customWidth="1"/>
    <col min="2" max="256" width="11.42578125" style="1"/>
    <col min="257" max="257" width="28" style="1" customWidth="1"/>
    <col min="258" max="512" width="11.42578125" style="1"/>
    <col min="513" max="513" width="28" style="1" customWidth="1"/>
    <col min="514" max="768" width="11.42578125" style="1"/>
    <col min="769" max="769" width="28" style="1" customWidth="1"/>
    <col min="770" max="1024" width="11.42578125" style="1"/>
    <col min="1025" max="1025" width="28" style="1" customWidth="1"/>
    <col min="1026" max="1280" width="11.42578125" style="1"/>
    <col min="1281" max="1281" width="28" style="1" customWidth="1"/>
    <col min="1282" max="1536" width="11.42578125" style="1"/>
    <col min="1537" max="1537" width="28" style="1" customWidth="1"/>
    <col min="1538" max="1792" width="11.42578125" style="1"/>
    <col min="1793" max="1793" width="28" style="1" customWidth="1"/>
    <col min="1794" max="2048" width="11.42578125" style="1"/>
    <col min="2049" max="2049" width="28" style="1" customWidth="1"/>
    <col min="2050" max="2304" width="11.42578125" style="1"/>
    <col min="2305" max="2305" width="28" style="1" customWidth="1"/>
    <col min="2306" max="2560" width="11.42578125" style="1"/>
    <col min="2561" max="2561" width="28" style="1" customWidth="1"/>
    <col min="2562" max="2816" width="11.42578125" style="1"/>
    <col min="2817" max="2817" width="28" style="1" customWidth="1"/>
    <col min="2818" max="3072" width="11.42578125" style="1"/>
    <col min="3073" max="3073" width="28" style="1" customWidth="1"/>
    <col min="3074" max="3328" width="11.42578125" style="1"/>
    <col min="3329" max="3329" width="28" style="1" customWidth="1"/>
    <col min="3330" max="3584" width="11.42578125" style="1"/>
    <col min="3585" max="3585" width="28" style="1" customWidth="1"/>
    <col min="3586" max="3840" width="11.42578125" style="1"/>
    <col min="3841" max="3841" width="28" style="1" customWidth="1"/>
    <col min="3842" max="4096" width="11.42578125" style="1"/>
    <col min="4097" max="4097" width="28" style="1" customWidth="1"/>
    <col min="4098" max="4352" width="11.42578125" style="1"/>
    <col min="4353" max="4353" width="28" style="1" customWidth="1"/>
    <col min="4354" max="4608" width="11.42578125" style="1"/>
    <col min="4609" max="4609" width="28" style="1" customWidth="1"/>
    <col min="4610" max="4864" width="11.42578125" style="1"/>
    <col min="4865" max="4865" width="28" style="1" customWidth="1"/>
    <col min="4866" max="5120" width="11.42578125" style="1"/>
    <col min="5121" max="5121" width="28" style="1" customWidth="1"/>
    <col min="5122" max="5376" width="11.42578125" style="1"/>
    <col min="5377" max="5377" width="28" style="1" customWidth="1"/>
    <col min="5378" max="5632" width="11.42578125" style="1"/>
    <col min="5633" max="5633" width="28" style="1" customWidth="1"/>
    <col min="5634" max="5888" width="11.42578125" style="1"/>
    <col min="5889" max="5889" width="28" style="1" customWidth="1"/>
    <col min="5890" max="6144" width="11.42578125" style="1"/>
    <col min="6145" max="6145" width="28" style="1" customWidth="1"/>
    <col min="6146" max="6400" width="11.42578125" style="1"/>
    <col min="6401" max="6401" width="28" style="1" customWidth="1"/>
    <col min="6402" max="6656" width="11.42578125" style="1"/>
    <col min="6657" max="6657" width="28" style="1" customWidth="1"/>
    <col min="6658" max="6912" width="11.42578125" style="1"/>
    <col min="6913" max="6913" width="28" style="1" customWidth="1"/>
    <col min="6914" max="7168" width="11.42578125" style="1"/>
    <col min="7169" max="7169" width="28" style="1" customWidth="1"/>
    <col min="7170" max="7424" width="11.42578125" style="1"/>
    <col min="7425" max="7425" width="28" style="1" customWidth="1"/>
    <col min="7426" max="7680" width="11.42578125" style="1"/>
    <col min="7681" max="7681" width="28" style="1" customWidth="1"/>
    <col min="7682" max="7936" width="11.42578125" style="1"/>
    <col min="7937" max="7937" width="28" style="1" customWidth="1"/>
    <col min="7938" max="8192" width="11.42578125" style="1"/>
    <col min="8193" max="8193" width="28" style="1" customWidth="1"/>
    <col min="8194" max="8448" width="11.42578125" style="1"/>
    <col min="8449" max="8449" width="28" style="1" customWidth="1"/>
    <col min="8450" max="8704" width="11.42578125" style="1"/>
    <col min="8705" max="8705" width="28" style="1" customWidth="1"/>
    <col min="8706" max="8960" width="11.42578125" style="1"/>
    <col min="8961" max="8961" width="28" style="1" customWidth="1"/>
    <col min="8962" max="9216" width="11.42578125" style="1"/>
    <col min="9217" max="9217" width="28" style="1" customWidth="1"/>
    <col min="9218" max="9472" width="11.42578125" style="1"/>
    <col min="9473" max="9473" width="28" style="1" customWidth="1"/>
    <col min="9474" max="9728" width="11.42578125" style="1"/>
    <col min="9729" max="9729" width="28" style="1" customWidth="1"/>
    <col min="9730" max="9984" width="11.42578125" style="1"/>
    <col min="9985" max="9985" width="28" style="1" customWidth="1"/>
    <col min="9986" max="10240" width="11.42578125" style="1"/>
    <col min="10241" max="10241" width="28" style="1" customWidth="1"/>
    <col min="10242" max="10496" width="11.42578125" style="1"/>
    <col min="10497" max="10497" width="28" style="1" customWidth="1"/>
    <col min="10498" max="10752" width="11.42578125" style="1"/>
    <col min="10753" max="10753" width="28" style="1" customWidth="1"/>
    <col min="10754" max="11008" width="11.42578125" style="1"/>
    <col min="11009" max="11009" width="28" style="1" customWidth="1"/>
    <col min="11010" max="11264" width="11.42578125" style="1"/>
    <col min="11265" max="11265" width="28" style="1" customWidth="1"/>
    <col min="11266" max="11520" width="11.42578125" style="1"/>
    <col min="11521" max="11521" width="28" style="1" customWidth="1"/>
    <col min="11522" max="11776" width="11.42578125" style="1"/>
    <col min="11777" max="11777" width="28" style="1" customWidth="1"/>
    <col min="11778" max="12032" width="11.42578125" style="1"/>
    <col min="12033" max="12033" width="28" style="1" customWidth="1"/>
    <col min="12034" max="12288" width="11.42578125" style="1"/>
    <col min="12289" max="12289" width="28" style="1" customWidth="1"/>
    <col min="12290" max="12544" width="11.42578125" style="1"/>
    <col min="12545" max="12545" width="28" style="1" customWidth="1"/>
    <col min="12546" max="12800" width="11.42578125" style="1"/>
    <col min="12801" max="12801" width="28" style="1" customWidth="1"/>
    <col min="12802" max="13056" width="11.42578125" style="1"/>
    <col min="13057" max="13057" width="28" style="1" customWidth="1"/>
    <col min="13058" max="13312" width="11.42578125" style="1"/>
    <col min="13313" max="13313" width="28" style="1" customWidth="1"/>
    <col min="13314" max="13568" width="11.42578125" style="1"/>
    <col min="13569" max="13569" width="28" style="1" customWidth="1"/>
    <col min="13570" max="13824" width="11.42578125" style="1"/>
    <col min="13825" max="13825" width="28" style="1" customWidth="1"/>
    <col min="13826" max="14080" width="11.42578125" style="1"/>
    <col min="14081" max="14081" width="28" style="1" customWidth="1"/>
    <col min="14082" max="14336" width="11.42578125" style="1"/>
    <col min="14337" max="14337" width="28" style="1" customWidth="1"/>
    <col min="14338" max="14592" width="11.42578125" style="1"/>
    <col min="14593" max="14593" width="28" style="1" customWidth="1"/>
    <col min="14594" max="14848" width="11.42578125" style="1"/>
    <col min="14849" max="14849" width="28" style="1" customWidth="1"/>
    <col min="14850" max="15104" width="11.42578125" style="1"/>
    <col min="15105" max="15105" width="28" style="1" customWidth="1"/>
    <col min="15106" max="15360" width="11.42578125" style="1"/>
    <col min="15361" max="15361" width="28" style="1" customWidth="1"/>
    <col min="15362" max="15616" width="11.42578125" style="1"/>
    <col min="15617" max="15617" width="28" style="1" customWidth="1"/>
    <col min="15618" max="15872" width="11.42578125" style="1"/>
    <col min="15873" max="15873" width="28" style="1" customWidth="1"/>
    <col min="15874" max="16128" width="11.42578125" style="1"/>
    <col min="16129" max="16129" width="28" style="1" customWidth="1"/>
    <col min="16130" max="16384" width="11.42578125" style="1"/>
  </cols>
  <sheetData>
    <row r="1" spans="1:5" ht="15" x14ac:dyDescent="0.2">
      <c r="A1" s="356" t="s">
        <v>263</v>
      </c>
    </row>
    <row r="2" spans="1:5" x14ac:dyDescent="0.2">
      <c r="A2" s="357"/>
    </row>
    <row r="3" spans="1:5" x14ac:dyDescent="0.2">
      <c r="A3" s="358" t="s">
        <v>287</v>
      </c>
      <c r="B3" s="358"/>
      <c r="C3" s="358"/>
      <c r="D3" s="358"/>
      <c r="E3" s="358"/>
    </row>
    <row r="5" spans="1:5" x14ac:dyDescent="0.2">
      <c r="A5" s="89" t="s">
        <v>246</v>
      </c>
      <c r="B5" s="89" t="s">
        <v>265</v>
      </c>
      <c r="C5" s="89" t="s">
        <v>266</v>
      </c>
      <c r="D5" s="97" t="s">
        <v>233</v>
      </c>
    </row>
    <row r="6" spans="1:5" x14ac:dyDescent="0.2">
      <c r="A6" s="99"/>
      <c r="B6" s="99" t="s">
        <v>267</v>
      </c>
      <c r="C6" s="99" t="s">
        <v>268</v>
      </c>
      <c r="D6" s="100"/>
    </row>
    <row r="7" spans="1:5" x14ac:dyDescent="0.2">
      <c r="A7" s="129" t="s">
        <v>288</v>
      </c>
      <c r="B7" s="174"/>
      <c r="C7" s="189"/>
      <c r="D7" s="189"/>
    </row>
    <row r="8" spans="1:5" x14ac:dyDescent="0.2">
      <c r="A8" s="173" t="s">
        <v>289</v>
      </c>
      <c r="B8" s="111"/>
      <c r="C8" s="114">
        <v>10.5</v>
      </c>
      <c r="D8" s="364">
        <f>(B8*C8)</f>
        <v>0</v>
      </c>
    </row>
    <row r="9" spans="1:5" x14ac:dyDescent="0.2">
      <c r="A9" s="173" t="s">
        <v>290</v>
      </c>
      <c r="B9" s="111"/>
      <c r="C9" s="114">
        <v>3</v>
      </c>
      <c r="D9" s="113">
        <f>(B9*C9)</f>
        <v>0</v>
      </c>
    </row>
    <row r="10" spans="1:5" x14ac:dyDescent="0.2">
      <c r="A10" s="129" t="s">
        <v>273</v>
      </c>
      <c r="B10" s="174"/>
      <c r="C10" s="151"/>
      <c r="D10" s="191"/>
    </row>
    <row r="11" spans="1:5" x14ac:dyDescent="0.2">
      <c r="A11" s="173" t="s">
        <v>291</v>
      </c>
      <c r="B11" s="111"/>
      <c r="C11" s="114">
        <v>1</v>
      </c>
      <c r="D11" s="113">
        <f>(B11*C11)</f>
        <v>0</v>
      </c>
    </row>
    <row r="12" spans="1:5" x14ac:dyDescent="0.2">
      <c r="A12" s="173" t="s">
        <v>275</v>
      </c>
      <c r="B12" s="111"/>
      <c r="C12" s="114">
        <v>1</v>
      </c>
      <c r="D12" s="113">
        <f>(B12*C12)</f>
        <v>0</v>
      </c>
    </row>
    <row r="13" spans="1:5" x14ac:dyDescent="0.2">
      <c r="A13" s="173" t="s">
        <v>276</v>
      </c>
      <c r="B13" s="111"/>
      <c r="C13" s="114">
        <v>1</v>
      </c>
      <c r="D13" s="113">
        <f>(B13*C13)</f>
        <v>0</v>
      </c>
    </row>
    <row r="14" spans="1:5" x14ac:dyDescent="0.2">
      <c r="A14" s="173" t="s">
        <v>277</v>
      </c>
      <c r="B14" s="111"/>
      <c r="C14" s="114">
        <v>0.1</v>
      </c>
      <c r="D14" s="113">
        <f>(B14*C14)</f>
        <v>0</v>
      </c>
    </row>
    <row r="15" spans="1:5" x14ac:dyDescent="0.2">
      <c r="A15" s="129" t="s">
        <v>281</v>
      </c>
      <c r="B15" s="174"/>
      <c r="C15" s="151"/>
      <c r="D15" s="191"/>
    </row>
    <row r="16" spans="1:5" x14ac:dyDescent="0.2">
      <c r="A16" s="173" t="s">
        <v>282</v>
      </c>
      <c r="B16" s="111"/>
      <c r="C16" s="114">
        <v>3</v>
      </c>
      <c r="D16" s="113">
        <f>(B16*C16)</f>
        <v>0</v>
      </c>
    </row>
    <row r="17" spans="1:4" x14ac:dyDescent="0.2">
      <c r="A17" s="173" t="s">
        <v>283</v>
      </c>
      <c r="B17" s="111"/>
      <c r="C17" s="114">
        <v>1.5</v>
      </c>
      <c r="D17" s="113">
        <f>(B17*C17)</f>
        <v>0</v>
      </c>
    </row>
    <row r="18" spans="1:4" x14ac:dyDescent="0.2">
      <c r="A18" s="173" t="s">
        <v>284</v>
      </c>
      <c r="B18" s="111"/>
      <c r="C18" s="114">
        <v>5.5</v>
      </c>
      <c r="D18" s="113">
        <f>(B18*C18)</f>
        <v>0</v>
      </c>
    </row>
  </sheetData>
  <pageMargins left="0.75" right="0.75" top="1" bottom="1" header="0" footer="0"/>
  <pageSetup paperSize="8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2"/>
  <sheetViews>
    <sheetView workbookViewId="0">
      <selection activeCell="E20" sqref="E20"/>
    </sheetView>
  </sheetViews>
  <sheetFormatPr baseColWidth="10" defaultRowHeight="12.75" x14ac:dyDescent="0.2"/>
  <cols>
    <col min="1" max="1" width="28.42578125" style="1" customWidth="1"/>
    <col min="2" max="2" width="10" style="1" customWidth="1"/>
    <col min="3" max="256" width="11.42578125" style="1"/>
    <col min="257" max="257" width="28.42578125" style="1" customWidth="1"/>
    <col min="258" max="258" width="10" style="1" customWidth="1"/>
    <col min="259" max="512" width="11.42578125" style="1"/>
    <col min="513" max="513" width="28.42578125" style="1" customWidth="1"/>
    <col min="514" max="514" width="10" style="1" customWidth="1"/>
    <col min="515" max="768" width="11.42578125" style="1"/>
    <col min="769" max="769" width="28.42578125" style="1" customWidth="1"/>
    <col min="770" max="770" width="10" style="1" customWidth="1"/>
    <col min="771" max="1024" width="11.42578125" style="1"/>
    <col min="1025" max="1025" width="28.42578125" style="1" customWidth="1"/>
    <col min="1026" max="1026" width="10" style="1" customWidth="1"/>
    <col min="1027" max="1280" width="11.42578125" style="1"/>
    <col min="1281" max="1281" width="28.42578125" style="1" customWidth="1"/>
    <col min="1282" max="1282" width="10" style="1" customWidth="1"/>
    <col min="1283" max="1536" width="11.42578125" style="1"/>
    <col min="1537" max="1537" width="28.42578125" style="1" customWidth="1"/>
    <col min="1538" max="1538" width="10" style="1" customWidth="1"/>
    <col min="1539" max="1792" width="11.42578125" style="1"/>
    <col min="1793" max="1793" width="28.42578125" style="1" customWidth="1"/>
    <col min="1794" max="1794" width="10" style="1" customWidth="1"/>
    <col min="1795" max="2048" width="11.42578125" style="1"/>
    <col min="2049" max="2049" width="28.42578125" style="1" customWidth="1"/>
    <col min="2050" max="2050" width="10" style="1" customWidth="1"/>
    <col min="2051" max="2304" width="11.42578125" style="1"/>
    <col min="2305" max="2305" width="28.42578125" style="1" customWidth="1"/>
    <col min="2306" max="2306" width="10" style="1" customWidth="1"/>
    <col min="2307" max="2560" width="11.42578125" style="1"/>
    <col min="2561" max="2561" width="28.42578125" style="1" customWidth="1"/>
    <col min="2562" max="2562" width="10" style="1" customWidth="1"/>
    <col min="2563" max="2816" width="11.42578125" style="1"/>
    <col min="2817" max="2817" width="28.42578125" style="1" customWidth="1"/>
    <col min="2818" max="2818" width="10" style="1" customWidth="1"/>
    <col min="2819" max="3072" width="11.42578125" style="1"/>
    <col min="3073" max="3073" width="28.42578125" style="1" customWidth="1"/>
    <col min="3074" max="3074" width="10" style="1" customWidth="1"/>
    <col min="3075" max="3328" width="11.42578125" style="1"/>
    <col min="3329" max="3329" width="28.42578125" style="1" customWidth="1"/>
    <col min="3330" max="3330" width="10" style="1" customWidth="1"/>
    <col min="3331" max="3584" width="11.42578125" style="1"/>
    <col min="3585" max="3585" width="28.42578125" style="1" customWidth="1"/>
    <col min="3586" max="3586" width="10" style="1" customWidth="1"/>
    <col min="3587" max="3840" width="11.42578125" style="1"/>
    <col min="3841" max="3841" width="28.42578125" style="1" customWidth="1"/>
    <col min="3842" max="3842" width="10" style="1" customWidth="1"/>
    <col min="3843" max="4096" width="11.42578125" style="1"/>
    <col min="4097" max="4097" width="28.42578125" style="1" customWidth="1"/>
    <col min="4098" max="4098" width="10" style="1" customWidth="1"/>
    <col min="4099" max="4352" width="11.42578125" style="1"/>
    <col min="4353" max="4353" width="28.42578125" style="1" customWidth="1"/>
    <col min="4354" max="4354" width="10" style="1" customWidth="1"/>
    <col min="4355" max="4608" width="11.42578125" style="1"/>
    <col min="4609" max="4609" width="28.42578125" style="1" customWidth="1"/>
    <col min="4610" max="4610" width="10" style="1" customWidth="1"/>
    <col min="4611" max="4864" width="11.42578125" style="1"/>
    <col min="4865" max="4865" width="28.42578125" style="1" customWidth="1"/>
    <col min="4866" max="4866" width="10" style="1" customWidth="1"/>
    <col min="4867" max="5120" width="11.42578125" style="1"/>
    <col min="5121" max="5121" width="28.42578125" style="1" customWidth="1"/>
    <col min="5122" max="5122" width="10" style="1" customWidth="1"/>
    <col min="5123" max="5376" width="11.42578125" style="1"/>
    <col min="5377" max="5377" width="28.42578125" style="1" customWidth="1"/>
    <col min="5378" max="5378" width="10" style="1" customWidth="1"/>
    <col min="5379" max="5632" width="11.42578125" style="1"/>
    <col min="5633" max="5633" width="28.42578125" style="1" customWidth="1"/>
    <col min="5634" max="5634" width="10" style="1" customWidth="1"/>
    <col min="5635" max="5888" width="11.42578125" style="1"/>
    <col min="5889" max="5889" width="28.42578125" style="1" customWidth="1"/>
    <col min="5890" max="5890" width="10" style="1" customWidth="1"/>
    <col min="5891" max="6144" width="11.42578125" style="1"/>
    <col min="6145" max="6145" width="28.42578125" style="1" customWidth="1"/>
    <col min="6146" max="6146" width="10" style="1" customWidth="1"/>
    <col min="6147" max="6400" width="11.42578125" style="1"/>
    <col min="6401" max="6401" width="28.42578125" style="1" customWidth="1"/>
    <col min="6402" max="6402" width="10" style="1" customWidth="1"/>
    <col min="6403" max="6656" width="11.42578125" style="1"/>
    <col min="6657" max="6657" width="28.42578125" style="1" customWidth="1"/>
    <col min="6658" max="6658" width="10" style="1" customWidth="1"/>
    <col min="6659" max="6912" width="11.42578125" style="1"/>
    <col min="6913" max="6913" width="28.42578125" style="1" customWidth="1"/>
    <col min="6914" max="6914" width="10" style="1" customWidth="1"/>
    <col min="6915" max="7168" width="11.42578125" style="1"/>
    <col min="7169" max="7169" width="28.42578125" style="1" customWidth="1"/>
    <col min="7170" max="7170" width="10" style="1" customWidth="1"/>
    <col min="7171" max="7424" width="11.42578125" style="1"/>
    <col min="7425" max="7425" width="28.42578125" style="1" customWidth="1"/>
    <col min="7426" max="7426" width="10" style="1" customWidth="1"/>
    <col min="7427" max="7680" width="11.42578125" style="1"/>
    <col min="7681" max="7681" width="28.42578125" style="1" customWidth="1"/>
    <col min="7682" max="7682" width="10" style="1" customWidth="1"/>
    <col min="7683" max="7936" width="11.42578125" style="1"/>
    <col min="7937" max="7937" width="28.42578125" style="1" customWidth="1"/>
    <col min="7938" max="7938" width="10" style="1" customWidth="1"/>
    <col min="7939" max="8192" width="11.42578125" style="1"/>
    <col min="8193" max="8193" width="28.42578125" style="1" customWidth="1"/>
    <col min="8194" max="8194" width="10" style="1" customWidth="1"/>
    <col min="8195" max="8448" width="11.42578125" style="1"/>
    <col min="8449" max="8449" width="28.42578125" style="1" customWidth="1"/>
    <col min="8450" max="8450" width="10" style="1" customWidth="1"/>
    <col min="8451" max="8704" width="11.42578125" style="1"/>
    <col min="8705" max="8705" width="28.42578125" style="1" customWidth="1"/>
    <col min="8706" max="8706" width="10" style="1" customWidth="1"/>
    <col min="8707" max="8960" width="11.42578125" style="1"/>
    <col min="8961" max="8961" width="28.42578125" style="1" customWidth="1"/>
    <col min="8962" max="8962" width="10" style="1" customWidth="1"/>
    <col min="8963" max="9216" width="11.42578125" style="1"/>
    <col min="9217" max="9217" width="28.42578125" style="1" customWidth="1"/>
    <col min="9218" max="9218" width="10" style="1" customWidth="1"/>
    <col min="9219" max="9472" width="11.42578125" style="1"/>
    <col min="9473" max="9473" width="28.42578125" style="1" customWidth="1"/>
    <col min="9474" max="9474" width="10" style="1" customWidth="1"/>
    <col min="9475" max="9728" width="11.42578125" style="1"/>
    <col min="9729" max="9729" width="28.42578125" style="1" customWidth="1"/>
    <col min="9730" max="9730" width="10" style="1" customWidth="1"/>
    <col min="9731" max="9984" width="11.42578125" style="1"/>
    <col min="9985" max="9985" width="28.42578125" style="1" customWidth="1"/>
    <col min="9986" max="9986" width="10" style="1" customWidth="1"/>
    <col min="9987" max="10240" width="11.42578125" style="1"/>
    <col min="10241" max="10241" width="28.42578125" style="1" customWidth="1"/>
    <col min="10242" max="10242" width="10" style="1" customWidth="1"/>
    <col min="10243" max="10496" width="11.42578125" style="1"/>
    <col min="10497" max="10497" width="28.42578125" style="1" customWidth="1"/>
    <col min="10498" max="10498" width="10" style="1" customWidth="1"/>
    <col min="10499" max="10752" width="11.42578125" style="1"/>
    <col min="10753" max="10753" width="28.42578125" style="1" customWidth="1"/>
    <col min="10754" max="10754" width="10" style="1" customWidth="1"/>
    <col min="10755" max="11008" width="11.42578125" style="1"/>
    <col min="11009" max="11009" width="28.42578125" style="1" customWidth="1"/>
    <col min="11010" max="11010" width="10" style="1" customWidth="1"/>
    <col min="11011" max="11264" width="11.42578125" style="1"/>
    <col min="11265" max="11265" width="28.42578125" style="1" customWidth="1"/>
    <col min="11266" max="11266" width="10" style="1" customWidth="1"/>
    <col min="11267" max="11520" width="11.42578125" style="1"/>
    <col min="11521" max="11521" width="28.42578125" style="1" customWidth="1"/>
    <col min="11522" max="11522" width="10" style="1" customWidth="1"/>
    <col min="11523" max="11776" width="11.42578125" style="1"/>
    <col min="11777" max="11777" width="28.42578125" style="1" customWidth="1"/>
    <col min="11778" max="11778" width="10" style="1" customWidth="1"/>
    <col min="11779" max="12032" width="11.42578125" style="1"/>
    <col min="12033" max="12033" width="28.42578125" style="1" customWidth="1"/>
    <col min="12034" max="12034" width="10" style="1" customWidth="1"/>
    <col min="12035" max="12288" width="11.42578125" style="1"/>
    <col min="12289" max="12289" width="28.42578125" style="1" customWidth="1"/>
    <col min="12290" max="12290" width="10" style="1" customWidth="1"/>
    <col min="12291" max="12544" width="11.42578125" style="1"/>
    <col min="12545" max="12545" width="28.42578125" style="1" customWidth="1"/>
    <col min="12546" max="12546" width="10" style="1" customWidth="1"/>
    <col min="12547" max="12800" width="11.42578125" style="1"/>
    <col min="12801" max="12801" width="28.42578125" style="1" customWidth="1"/>
    <col min="12802" max="12802" width="10" style="1" customWidth="1"/>
    <col min="12803" max="13056" width="11.42578125" style="1"/>
    <col min="13057" max="13057" width="28.42578125" style="1" customWidth="1"/>
    <col min="13058" max="13058" width="10" style="1" customWidth="1"/>
    <col min="13059" max="13312" width="11.42578125" style="1"/>
    <col min="13313" max="13313" width="28.42578125" style="1" customWidth="1"/>
    <col min="13314" max="13314" width="10" style="1" customWidth="1"/>
    <col min="13315" max="13568" width="11.42578125" style="1"/>
    <col min="13569" max="13569" width="28.42578125" style="1" customWidth="1"/>
    <col min="13570" max="13570" width="10" style="1" customWidth="1"/>
    <col min="13571" max="13824" width="11.42578125" style="1"/>
    <col min="13825" max="13825" width="28.42578125" style="1" customWidth="1"/>
    <col min="13826" max="13826" width="10" style="1" customWidth="1"/>
    <col min="13827" max="14080" width="11.42578125" style="1"/>
    <col min="14081" max="14081" width="28.42578125" style="1" customWidth="1"/>
    <col min="14082" max="14082" width="10" style="1" customWidth="1"/>
    <col min="14083" max="14336" width="11.42578125" style="1"/>
    <col min="14337" max="14337" width="28.42578125" style="1" customWidth="1"/>
    <col min="14338" max="14338" width="10" style="1" customWidth="1"/>
    <col min="14339" max="14592" width="11.42578125" style="1"/>
    <col min="14593" max="14593" width="28.42578125" style="1" customWidth="1"/>
    <col min="14594" max="14594" width="10" style="1" customWidth="1"/>
    <col min="14595" max="14848" width="11.42578125" style="1"/>
    <col min="14849" max="14849" width="28.42578125" style="1" customWidth="1"/>
    <col min="14850" max="14850" width="10" style="1" customWidth="1"/>
    <col min="14851" max="15104" width="11.42578125" style="1"/>
    <col min="15105" max="15105" width="28.42578125" style="1" customWidth="1"/>
    <col min="15106" max="15106" width="10" style="1" customWidth="1"/>
    <col min="15107" max="15360" width="11.42578125" style="1"/>
    <col min="15361" max="15361" width="28.42578125" style="1" customWidth="1"/>
    <col min="15362" max="15362" width="10" style="1" customWidth="1"/>
    <col min="15363" max="15616" width="11.42578125" style="1"/>
    <col min="15617" max="15617" width="28.42578125" style="1" customWidth="1"/>
    <col min="15618" max="15618" width="10" style="1" customWidth="1"/>
    <col min="15619" max="15872" width="11.42578125" style="1"/>
    <col min="15873" max="15873" width="28.42578125" style="1" customWidth="1"/>
    <col min="15874" max="15874" width="10" style="1" customWidth="1"/>
    <col min="15875" max="16128" width="11.42578125" style="1"/>
    <col min="16129" max="16129" width="28.42578125" style="1" customWidth="1"/>
    <col min="16130" max="16130" width="10" style="1" customWidth="1"/>
    <col min="16131" max="16384" width="11.42578125" style="1"/>
  </cols>
  <sheetData>
    <row r="1" spans="1:5" ht="15" x14ac:dyDescent="0.2">
      <c r="A1" s="356" t="s">
        <v>263</v>
      </c>
      <c r="B1" s="358"/>
      <c r="C1" s="358"/>
      <c r="D1" s="358"/>
      <c r="E1" s="358"/>
    </row>
    <row r="2" spans="1:5" x14ac:dyDescent="0.2">
      <c r="A2" s="358" t="s">
        <v>292</v>
      </c>
    </row>
    <row r="3" spans="1:5" x14ac:dyDescent="0.2">
      <c r="A3" s="89" t="s">
        <v>246</v>
      </c>
      <c r="B3" s="89" t="s">
        <v>265</v>
      </c>
      <c r="C3" s="89" t="s">
        <v>266</v>
      </c>
      <c r="D3" s="97" t="s">
        <v>233</v>
      </c>
    </row>
    <row r="4" spans="1:5" x14ac:dyDescent="0.2">
      <c r="A4" s="99"/>
      <c r="B4" s="99" t="s">
        <v>293</v>
      </c>
      <c r="C4" s="99" t="s">
        <v>268</v>
      </c>
      <c r="D4" s="100"/>
    </row>
    <row r="5" spans="1:5" x14ac:dyDescent="0.2">
      <c r="A5" s="129" t="s">
        <v>269</v>
      </c>
      <c r="B5" s="174"/>
      <c r="C5" s="151"/>
      <c r="D5" s="191"/>
    </row>
    <row r="6" spans="1:5" x14ac:dyDescent="0.2">
      <c r="A6" s="173" t="s">
        <v>270</v>
      </c>
      <c r="B6" s="111">
        <v>1</v>
      </c>
      <c r="C6" s="114">
        <v>2</v>
      </c>
      <c r="D6" s="364">
        <f>(B6*C6)</f>
        <v>2</v>
      </c>
    </row>
    <row r="7" spans="1:5" x14ac:dyDescent="0.2">
      <c r="A7" s="173" t="s">
        <v>271</v>
      </c>
      <c r="B7" s="111">
        <v>1</v>
      </c>
      <c r="C7" s="114">
        <v>0.12</v>
      </c>
      <c r="D7" s="164">
        <f>(B7*C7)</f>
        <v>0.12</v>
      </c>
    </row>
    <row r="8" spans="1:5" x14ac:dyDescent="0.2">
      <c r="A8" s="173" t="s">
        <v>294</v>
      </c>
      <c r="B8" s="111">
        <v>1</v>
      </c>
      <c r="C8" s="114">
        <v>1.2E-2</v>
      </c>
      <c r="D8" s="164">
        <f>(B8*C8)</f>
        <v>1.2E-2</v>
      </c>
    </row>
    <row r="9" spans="1:5" x14ac:dyDescent="0.2">
      <c r="A9" s="129" t="s">
        <v>273</v>
      </c>
      <c r="B9" s="174"/>
      <c r="C9" s="151"/>
      <c r="D9" s="365"/>
    </row>
    <row r="10" spans="1:5" x14ac:dyDescent="0.2">
      <c r="A10" s="173" t="s">
        <v>295</v>
      </c>
      <c r="B10" s="111">
        <v>1</v>
      </c>
      <c r="C10" s="114">
        <v>1</v>
      </c>
      <c r="D10" s="364">
        <f>(B10*C10)</f>
        <v>1</v>
      </c>
    </row>
    <row r="11" spans="1:5" x14ac:dyDescent="0.2">
      <c r="A11" s="173" t="s">
        <v>277</v>
      </c>
      <c r="B11" s="111">
        <v>1</v>
      </c>
      <c r="C11" s="114">
        <v>3.3000000000000002E-2</v>
      </c>
      <c r="D11" s="364">
        <f>(B11*C11)</f>
        <v>3.3000000000000002E-2</v>
      </c>
    </row>
    <row r="12" spans="1:5" x14ac:dyDescent="0.2">
      <c r="A12" s="129" t="s">
        <v>296</v>
      </c>
      <c r="B12" s="174"/>
      <c r="C12" s="151"/>
      <c r="D12" s="365"/>
    </row>
    <row r="13" spans="1:5" x14ac:dyDescent="0.2">
      <c r="A13" s="173" t="s">
        <v>279</v>
      </c>
      <c r="B13" s="111">
        <v>1</v>
      </c>
      <c r="C13" s="114">
        <v>5</v>
      </c>
      <c r="D13" s="364">
        <f>(B13*C13)</f>
        <v>5</v>
      </c>
    </row>
    <row r="14" spans="1:5" x14ac:dyDescent="0.2">
      <c r="A14" s="173" t="s">
        <v>271</v>
      </c>
      <c r="B14" s="111">
        <v>1</v>
      </c>
      <c r="C14" s="114">
        <v>0.3</v>
      </c>
      <c r="D14" s="164">
        <f>(B14*C14)</f>
        <v>0.3</v>
      </c>
    </row>
    <row r="15" spans="1:5" x14ac:dyDescent="0.2">
      <c r="A15" s="173" t="s">
        <v>272</v>
      </c>
      <c r="B15" s="111">
        <v>1</v>
      </c>
      <c r="C15" s="114">
        <v>0.03</v>
      </c>
      <c r="D15" s="164">
        <f>(B15*C15)</f>
        <v>0.03</v>
      </c>
    </row>
    <row r="16" spans="1:5" x14ac:dyDescent="0.2">
      <c r="A16" s="173" t="s">
        <v>280</v>
      </c>
      <c r="B16" s="111">
        <v>1</v>
      </c>
      <c r="C16" s="114">
        <v>3</v>
      </c>
      <c r="D16" s="364">
        <f>(B16*C16)</f>
        <v>3</v>
      </c>
    </row>
    <row r="17" spans="1:4" x14ac:dyDescent="0.2">
      <c r="A17" s="129" t="s">
        <v>281</v>
      </c>
      <c r="B17" s="174"/>
      <c r="C17" s="151"/>
      <c r="D17" s="365"/>
    </row>
    <row r="18" spans="1:4" x14ac:dyDescent="0.2">
      <c r="A18" s="173" t="s">
        <v>282</v>
      </c>
      <c r="B18" s="111">
        <v>1</v>
      </c>
      <c r="C18" s="114">
        <v>2.8</v>
      </c>
      <c r="D18" s="364">
        <f>(B18*C18)</f>
        <v>2.8</v>
      </c>
    </row>
    <row r="19" spans="1:4" x14ac:dyDescent="0.2">
      <c r="A19" s="173" t="s">
        <v>283</v>
      </c>
      <c r="B19" s="111">
        <v>1</v>
      </c>
      <c r="C19" s="114">
        <v>1</v>
      </c>
      <c r="D19" s="364">
        <f>(B19*C19)</f>
        <v>1</v>
      </c>
    </row>
    <row r="20" spans="1:4" x14ac:dyDescent="0.2">
      <c r="D20" s="366"/>
    </row>
    <row r="21" spans="1:4" ht="15.75" x14ac:dyDescent="0.25">
      <c r="A21" s="239" t="s">
        <v>285</v>
      </c>
      <c r="B21" s="189"/>
      <c r="C21" s="189"/>
      <c r="D21" s="164">
        <f>SUM(D7,D14)</f>
        <v>0.42</v>
      </c>
    </row>
    <row r="22" spans="1:4" ht="15.75" x14ac:dyDescent="0.25">
      <c r="A22" s="239" t="s">
        <v>297</v>
      </c>
      <c r="B22" s="189"/>
      <c r="C22" s="189"/>
      <c r="D22" s="164">
        <f>SUM(D8,D15)</f>
        <v>4.1999999999999996E-2</v>
      </c>
    </row>
  </sheetData>
  <pageMargins left="0.75" right="0.75" top="1" bottom="1" header="0" footer="0"/>
  <pageSetup paperSize="8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"/>
  <sheetViews>
    <sheetView workbookViewId="0">
      <selection activeCell="C17" sqref="C17"/>
    </sheetView>
  </sheetViews>
  <sheetFormatPr baseColWidth="10" defaultRowHeight="12.75" x14ac:dyDescent="0.2"/>
  <cols>
    <col min="1" max="1" width="15.85546875" style="1" customWidth="1"/>
    <col min="2" max="2" width="24.5703125" style="1" customWidth="1"/>
    <col min="3" max="3" width="12.85546875" style="1" customWidth="1"/>
    <col min="4" max="4" width="11" style="1" customWidth="1"/>
    <col min="5" max="5" width="15" style="1" customWidth="1"/>
    <col min="6" max="6" width="24.28515625" style="1" customWidth="1"/>
    <col min="7" max="256" width="11.42578125" style="1"/>
    <col min="257" max="257" width="15.85546875" style="1" customWidth="1"/>
    <col min="258" max="258" width="24.5703125" style="1" customWidth="1"/>
    <col min="259" max="259" width="12.85546875" style="1" customWidth="1"/>
    <col min="260" max="260" width="11" style="1" customWidth="1"/>
    <col min="261" max="261" width="15" style="1" customWidth="1"/>
    <col min="262" max="262" width="24.28515625" style="1" customWidth="1"/>
    <col min="263" max="512" width="11.42578125" style="1"/>
    <col min="513" max="513" width="15.85546875" style="1" customWidth="1"/>
    <col min="514" max="514" width="24.5703125" style="1" customWidth="1"/>
    <col min="515" max="515" width="12.85546875" style="1" customWidth="1"/>
    <col min="516" max="516" width="11" style="1" customWidth="1"/>
    <col min="517" max="517" width="15" style="1" customWidth="1"/>
    <col min="518" max="518" width="24.28515625" style="1" customWidth="1"/>
    <col min="519" max="768" width="11.42578125" style="1"/>
    <col min="769" max="769" width="15.85546875" style="1" customWidth="1"/>
    <col min="770" max="770" width="24.5703125" style="1" customWidth="1"/>
    <col min="771" max="771" width="12.85546875" style="1" customWidth="1"/>
    <col min="772" max="772" width="11" style="1" customWidth="1"/>
    <col min="773" max="773" width="15" style="1" customWidth="1"/>
    <col min="774" max="774" width="24.28515625" style="1" customWidth="1"/>
    <col min="775" max="1024" width="11.42578125" style="1"/>
    <col min="1025" max="1025" width="15.85546875" style="1" customWidth="1"/>
    <col min="1026" max="1026" width="24.5703125" style="1" customWidth="1"/>
    <col min="1027" max="1027" width="12.85546875" style="1" customWidth="1"/>
    <col min="1028" max="1028" width="11" style="1" customWidth="1"/>
    <col min="1029" max="1029" width="15" style="1" customWidth="1"/>
    <col min="1030" max="1030" width="24.28515625" style="1" customWidth="1"/>
    <col min="1031" max="1280" width="11.42578125" style="1"/>
    <col min="1281" max="1281" width="15.85546875" style="1" customWidth="1"/>
    <col min="1282" max="1282" width="24.5703125" style="1" customWidth="1"/>
    <col min="1283" max="1283" width="12.85546875" style="1" customWidth="1"/>
    <col min="1284" max="1284" width="11" style="1" customWidth="1"/>
    <col min="1285" max="1285" width="15" style="1" customWidth="1"/>
    <col min="1286" max="1286" width="24.28515625" style="1" customWidth="1"/>
    <col min="1287" max="1536" width="11.42578125" style="1"/>
    <col min="1537" max="1537" width="15.85546875" style="1" customWidth="1"/>
    <col min="1538" max="1538" width="24.5703125" style="1" customWidth="1"/>
    <col min="1539" max="1539" width="12.85546875" style="1" customWidth="1"/>
    <col min="1540" max="1540" width="11" style="1" customWidth="1"/>
    <col min="1541" max="1541" width="15" style="1" customWidth="1"/>
    <col min="1542" max="1542" width="24.28515625" style="1" customWidth="1"/>
    <col min="1543" max="1792" width="11.42578125" style="1"/>
    <col min="1793" max="1793" width="15.85546875" style="1" customWidth="1"/>
    <col min="1794" max="1794" width="24.5703125" style="1" customWidth="1"/>
    <col min="1795" max="1795" width="12.85546875" style="1" customWidth="1"/>
    <col min="1796" max="1796" width="11" style="1" customWidth="1"/>
    <col min="1797" max="1797" width="15" style="1" customWidth="1"/>
    <col min="1798" max="1798" width="24.28515625" style="1" customWidth="1"/>
    <col min="1799" max="2048" width="11.42578125" style="1"/>
    <col min="2049" max="2049" width="15.85546875" style="1" customWidth="1"/>
    <col min="2050" max="2050" width="24.5703125" style="1" customWidth="1"/>
    <col min="2051" max="2051" width="12.85546875" style="1" customWidth="1"/>
    <col min="2052" max="2052" width="11" style="1" customWidth="1"/>
    <col min="2053" max="2053" width="15" style="1" customWidth="1"/>
    <col min="2054" max="2054" width="24.28515625" style="1" customWidth="1"/>
    <col min="2055" max="2304" width="11.42578125" style="1"/>
    <col min="2305" max="2305" width="15.85546875" style="1" customWidth="1"/>
    <col min="2306" max="2306" width="24.5703125" style="1" customWidth="1"/>
    <col min="2307" max="2307" width="12.85546875" style="1" customWidth="1"/>
    <col min="2308" max="2308" width="11" style="1" customWidth="1"/>
    <col min="2309" max="2309" width="15" style="1" customWidth="1"/>
    <col min="2310" max="2310" width="24.28515625" style="1" customWidth="1"/>
    <col min="2311" max="2560" width="11.42578125" style="1"/>
    <col min="2561" max="2561" width="15.85546875" style="1" customWidth="1"/>
    <col min="2562" max="2562" width="24.5703125" style="1" customWidth="1"/>
    <col min="2563" max="2563" width="12.85546875" style="1" customWidth="1"/>
    <col min="2564" max="2564" width="11" style="1" customWidth="1"/>
    <col min="2565" max="2565" width="15" style="1" customWidth="1"/>
    <col min="2566" max="2566" width="24.28515625" style="1" customWidth="1"/>
    <col min="2567" max="2816" width="11.42578125" style="1"/>
    <col min="2817" max="2817" width="15.85546875" style="1" customWidth="1"/>
    <col min="2818" max="2818" width="24.5703125" style="1" customWidth="1"/>
    <col min="2819" max="2819" width="12.85546875" style="1" customWidth="1"/>
    <col min="2820" max="2820" width="11" style="1" customWidth="1"/>
    <col min="2821" max="2821" width="15" style="1" customWidth="1"/>
    <col min="2822" max="2822" width="24.28515625" style="1" customWidth="1"/>
    <col min="2823" max="3072" width="11.42578125" style="1"/>
    <col min="3073" max="3073" width="15.85546875" style="1" customWidth="1"/>
    <col min="3074" max="3074" width="24.5703125" style="1" customWidth="1"/>
    <col min="3075" max="3075" width="12.85546875" style="1" customWidth="1"/>
    <col min="3076" max="3076" width="11" style="1" customWidth="1"/>
    <col min="3077" max="3077" width="15" style="1" customWidth="1"/>
    <col min="3078" max="3078" width="24.28515625" style="1" customWidth="1"/>
    <col min="3079" max="3328" width="11.42578125" style="1"/>
    <col min="3329" max="3329" width="15.85546875" style="1" customWidth="1"/>
    <col min="3330" max="3330" width="24.5703125" style="1" customWidth="1"/>
    <col min="3331" max="3331" width="12.85546875" style="1" customWidth="1"/>
    <col min="3332" max="3332" width="11" style="1" customWidth="1"/>
    <col min="3333" max="3333" width="15" style="1" customWidth="1"/>
    <col min="3334" max="3334" width="24.28515625" style="1" customWidth="1"/>
    <col min="3335" max="3584" width="11.42578125" style="1"/>
    <col min="3585" max="3585" width="15.85546875" style="1" customWidth="1"/>
    <col min="3586" max="3586" width="24.5703125" style="1" customWidth="1"/>
    <col min="3587" max="3587" width="12.85546875" style="1" customWidth="1"/>
    <col min="3588" max="3588" width="11" style="1" customWidth="1"/>
    <col min="3589" max="3589" width="15" style="1" customWidth="1"/>
    <col min="3590" max="3590" width="24.28515625" style="1" customWidth="1"/>
    <col min="3591" max="3840" width="11.42578125" style="1"/>
    <col min="3841" max="3841" width="15.85546875" style="1" customWidth="1"/>
    <col min="3842" max="3842" width="24.5703125" style="1" customWidth="1"/>
    <col min="3843" max="3843" width="12.85546875" style="1" customWidth="1"/>
    <col min="3844" max="3844" width="11" style="1" customWidth="1"/>
    <col min="3845" max="3845" width="15" style="1" customWidth="1"/>
    <col min="3846" max="3846" width="24.28515625" style="1" customWidth="1"/>
    <col min="3847" max="4096" width="11.42578125" style="1"/>
    <col min="4097" max="4097" width="15.85546875" style="1" customWidth="1"/>
    <col min="4098" max="4098" width="24.5703125" style="1" customWidth="1"/>
    <col min="4099" max="4099" width="12.85546875" style="1" customWidth="1"/>
    <col min="4100" max="4100" width="11" style="1" customWidth="1"/>
    <col min="4101" max="4101" width="15" style="1" customWidth="1"/>
    <col min="4102" max="4102" width="24.28515625" style="1" customWidth="1"/>
    <col min="4103" max="4352" width="11.42578125" style="1"/>
    <col min="4353" max="4353" width="15.85546875" style="1" customWidth="1"/>
    <col min="4354" max="4354" width="24.5703125" style="1" customWidth="1"/>
    <col min="4355" max="4355" width="12.85546875" style="1" customWidth="1"/>
    <col min="4356" max="4356" width="11" style="1" customWidth="1"/>
    <col min="4357" max="4357" width="15" style="1" customWidth="1"/>
    <col min="4358" max="4358" width="24.28515625" style="1" customWidth="1"/>
    <col min="4359" max="4608" width="11.42578125" style="1"/>
    <col min="4609" max="4609" width="15.85546875" style="1" customWidth="1"/>
    <col min="4610" max="4610" width="24.5703125" style="1" customWidth="1"/>
    <col min="4611" max="4611" width="12.85546875" style="1" customWidth="1"/>
    <col min="4612" max="4612" width="11" style="1" customWidth="1"/>
    <col min="4613" max="4613" width="15" style="1" customWidth="1"/>
    <col min="4614" max="4614" width="24.28515625" style="1" customWidth="1"/>
    <col min="4615" max="4864" width="11.42578125" style="1"/>
    <col min="4865" max="4865" width="15.85546875" style="1" customWidth="1"/>
    <col min="4866" max="4866" width="24.5703125" style="1" customWidth="1"/>
    <col min="4867" max="4867" width="12.85546875" style="1" customWidth="1"/>
    <col min="4868" max="4868" width="11" style="1" customWidth="1"/>
    <col min="4869" max="4869" width="15" style="1" customWidth="1"/>
    <col min="4870" max="4870" width="24.28515625" style="1" customWidth="1"/>
    <col min="4871" max="5120" width="11.42578125" style="1"/>
    <col min="5121" max="5121" width="15.85546875" style="1" customWidth="1"/>
    <col min="5122" max="5122" width="24.5703125" style="1" customWidth="1"/>
    <col min="5123" max="5123" width="12.85546875" style="1" customWidth="1"/>
    <col min="5124" max="5124" width="11" style="1" customWidth="1"/>
    <col min="5125" max="5125" width="15" style="1" customWidth="1"/>
    <col min="5126" max="5126" width="24.28515625" style="1" customWidth="1"/>
    <col min="5127" max="5376" width="11.42578125" style="1"/>
    <col min="5377" max="5377" width="15.85546875" style="1" customWidth="1"/>
    <col min="5378" max="5378" width="24.5703125" style="1" customWidth="1"/>
    <col min="5379" max="5379" width="12.85546875" style="1" customWidth="1"/>
    <col min="5380" max="5380" width="11" style="1" customWidth="1"/>
    <col min="5381" max="5381" width="15" style="1" customWidth="1"/>
    <col min="5382" max="5382" width="24.28515625" style="1" customWidth="1"/>
    <col min="5383" max="5632" width="11.42578125" style="1"/>
    <col min="5633" max="5633" width="15.85546875" style="1" customWidth="1"/>
    <col min="5634" max="5634" width="24.5703125" style="1" customWidth="1"/>
    <col min="5635" max="5635" width="12.85546875" style="1" customWidth="1"/>
    <col min="5636" max="5636" width="11" style="1" customWidth="1"/>
    <col min="5637" max="5637" width="15" style="1" customWidth="1"/>
    <col min="5638" max="5638" width="24.28515625" style="1" customWidth="1"/>
    <col min="5639" max="5888" width="11.42578125" style="1"/>
    <col min="5889" max="5889" width="15.85546875" style="1" customWidth="1"/>
    <col min="5890" max="5890" width="24.5703125" style="1" customWidth="1"/>
    <col min="5891" max="5891" width="12.85546875" style="1" customWidth="1"/>
    <col min="5892" max="5892" width="11" style="1" customWidth="1"/>
    <col min="5893" max="5893" width="15" style="1" customWidth="1"/>
    <col min="5894" max="5894" width="24.28515625" style="1" customWidth="1"/>
    <col min="5895" max="6144" width="11.42578125" style="1"/>
    <col min="6145" max="6145" width="15.85546875" style="1" customWidth="1"/>
    <col min="6146" max="6146" width="24.5703125" style="1" customWidth="1"/>
    <col min="6147" max="6147" width="12.85546875" style="1" customWidth="1"/>
    <col min="6148" max="6148" width="11" style="1" customWidth="1"/>
    <col min="6149" max="6149" width="15" style="1" customWidth="1"/>
    <col min="6150" max="6150" width="24.28515625" style="1" customWidth="1"/>
    <col min="6151" max="6400" width="11.42578125" style="1"/>
    <col min="6401" max="6401" width="15.85546875" style="1" customWidth="1"/>
    <col min="6402" max="6402" width="24.5703125" style="1" customWidth="1"/>
    <col min="6403" max="6403" width="12.85546875" style="1" customWidth="1"/>
    <col min="6404" max="6404" width="11" style="1" customWidth="1"/>
    <col min="6405" max="6405" width="15" style="1" customWidth="1"/>
    <col min="6406" max="6406" width="24.28515625" style="1" customWidth="1"/>
    <col min="6407" max="6656" width="11.42578125" style="1"/>
    <col min="6657" max="6657" width="15.85546875" style="1" customWidth="1"/>
    <col min="6658" max="6658" width="24.5703125" style="1" customWidth="1"/>
    <col min="6659" max="6659" width="12.85546875" style="1" customWidth="1"/>
    <col min="6660" max="6660" width="11" style="1" customWidth="1"/>
    <col min="6661" max="6661" width="15" style="1" customWidth="1"/>
    <col min="6662" max="6662" width="24.28515625" style="1" customWidth="1"/>
    <col min="6663" max="6912" width="11.42578125" style="1"/>
    <col min="6913" max="6913" width="15.85546875" style="1" customWidth="1"/>
    <col min="6914" max="6914" width="24.5703125" style="1" customWidth="1"/>
    <col min="6915" max="6915" width="12.85546875" style="1" customWidth="1"/>
    <col min="6916" max="6916" width="11" style="1" customWidth="1"/>
    <col min="6917" max="6917" width="15" style="1" customWidth="1"/>
    <col min="6918" max="6918" width="24.28515625" style="1" customWidth="1"/>
    <col min="6919" max="7168" width="11.42578125" style="1"/>
    <col min="7169" max="7169" width="15.85546875" style="1" customWidth="1"/>
    <col min="7170" max="7170" width="24.5703125" style="1" customWidth="1"/>
    <col min="7171" max="7171" width="12.85546875" style="1" customWidth="1"/>
    <col min="7172" max="7172" width="11" style="1" customWidth="1"/>
    <col min="7173" max="7173" width="15" style="1" customWidth="1"/>
    <col min="7174" max="7174" width="24.28515625" style="1" customWidth="1"/>
    <col min="7175" max="7424" width="11.42578125" style="1"/>
    <col min="7425" max="7425" width="15.85546875" style="1" customWidth="1"/>
    <col min="7426" max="7426" width="24.5703125" style="1" customWidth="1"/>
    <col min="7427" max="7427" width="12.85546875" style="1" customWidth="1"/>
    <col min="7428" max="7428" width="11" style="1" customWidth="1"/>
    <col min="7429" max="7429" width="15" style="1" customWidth="1"/>
    <col min="7430" max="7430" width="24.28515625" style="1" customWidth="1"/>
    <col min="7431" max="7680" width="11.42578125" style="1"/>
    <col min="7681" max="7681" width="15.85546875" style="1" customWidth="1"/>
    <col min="7682" max="7682" width="24.5703125" style="1" customWidth="1"/>
    <col min="7683" max="7683" width="12.85546875" style="1" customWidth="1"/>
    <col min="7684" max="7684" width="11" style="1" customWidth="1"/>
    <col min="7685" max="7685" width="15" style="1" customWidth="1"/>
    <col min="7686" max="7686" width="24.28515625" style="1" customWidth="1"/>
    <col min="7687" max="7936" width="11.42578125" style="1"/>
    <col min="7937" max="7937" width="15.85546875" style="1" customWidth="1"/>
    <col min="7938" max="7938" width="24.5703125" style="1" customWidth="1"/>
    <col min="7939" max="7939" width="12.85546875" style="1" customWidth="1"/>
    <col min="7940" max="7940" width="11" style="1" customWidth="1"/>
    <col min="7941" max="7941" width="15" style="1" customWidth="1"/>
    <col min="7942" max="7942" width="24.28515625" style="1" customWidth="1"/>
    <col min="7943" max="8192" width="11.42578125" style="1"/>
    <col min="8193" max="8193" width="15.85546875" style="1" customWidth="1"/>
    <col min="8194" max="8194" width="24.5703125" style="1" customWidth="1"/>
    <col min="8195" max="8195" width="12.85546875" style="1" customWidth="1"/>
    <col min="8196" max="8196" width="11" style="1" customWidth="1"/>
    <col min="8197" max="8197" width="15" style="1" customWidth="1"/>
    <col min="8198" max="8198" width="24.28515625" style="1" customWidth="1"/>
    <col min="8199" max="8448" width="11.42578125" style="1"/>
    <col min="8449" max="8449" width="15.85546875" style="1" customWidth="1"/>
    <col min="8450" max="8450" width="24.5703125" style="1" customWidth="1"/>
    <col min="8451" max="8451" width="12.85546875" style="1" customWidth="1"/>
    <col min="8452" max="8452" width="11" style="1" customWidth="1"/>
    <col min="8453" max="8453" width="15" style="1" customWidth="1"/>
    <col min="8454" max="8454" width="24.28515625" style="1" customWidth="1"/>
    <col min="8455" max="8704" width="11.42578125" style="1"/>
    <col min="8705" max="8705" width="15.85546875" style="1" customWidth="1"/>
    <col min="8706" max="8706" width="24.5703125" style="1" customWidth="1"/>
    <col min="8707" max="8707" width="12.85546875" style="1" customWidth="1"/>
    <col min="8708" max="8708" width="11" style="1" customWidth="1"/>
    <col min="8709" max="8709" width="15" style="1" customWidth="1"/>
    <col min="8710" max="8710" width="24.28515625" style="1" customWidth="1"/>
    <col min="8711" max="8960" width="11.42578125" style="1"/>
    <col min="8961" max="8961" width="15.85546875" style="1" customWidth="1"/>
    <col min="8962" max="8962" width="24.5703125" style="1" customWidth="1"/>
    <col min="8963" max="8963" width="12.85546875" style="1" customWidth="1"/>
    <col min="8964" max="8964" width="11" style="1" customWidth="1"/>
    <col min="8965" max="8965" width="15" style="1" customWidth="1"/>
    <col min="8966" max="8966" width="24.28515625" style="1" customWidth="1"/>
    <col min="8967" max="9216" width="11.42578125" style="1"/>
    <col min="9217" max="9217" width="15.85546875" style="1" customWidth="1"/>
    <col min="9218" max="9218" width="24.5703125" style="1" customWidth="1"/>
    <col min="9219" max="9219" width="12.85546875" style="1" customWidth="1"/>
    <col min="9220" max="9220" width="11" style="1" customWidth="1"/>
    <col min="9221" max="9221" width="15" style="1" customWidth="1"/>
    <col min="9222" max="9222" width="24.28515625" style="1" customWidth="1"/>
    <col min="9223" max="9472" width="11.42578125" style="1"/>
    <col min="9473" max="9473" width="15.85546875" style="1" customWidth="1"/>
    <col min="9474" max="9474" width="24.5703125" style="1" customWidth="1"/>
    <col min="9475" max="9475" width="12.85546875" style="1" customWidth="1"/>
    <col min="9476" max="9476" width="11" style="1" customWidth="1"/>
    <col min="9477" max="9477" width="15" style="1" customWidth="1"/>
    <col min="9478" max="9478" width="24.28515625" style="1" customWidth="1"/>
    <col min="9479" max="9728" width="11.42578125" style="1"/>
    <col min="9729" max="9729" width="15.85546875" style="1" customWidth="1"/>
    <col min="9730" max="9730" width="24.5703125" style="1" customWidth="1"/>
    <col min="9731" max="9731" width="12.85546875" style="1" customWidth="1"/>
    <col min="9732" max="9732" width="11" style="1" customWidth="1"/>
    <col min="9733" max="9733" width="15" style="1" customWidth="1"/>
    <col min="9734" max="9734" width="24.28515625" style="1" customWidth="1"/>
    <col min="9735" max="9984" width="11.42578125" style="1"/>
    <col min="9985" max="9985" width="15.85546875" style="1" customWidth="1"/>
    <col min="9986" max="9986" width="24.5703125" style="1" customWidth="1"/>
    <col min="9987" max="9987" width="12.85546875" style="1" customWidth="1"/>
    <col min="9988" max="9988" width="11" style="1" customWidth="1"/>
    <col min="9989" max="9989" width="15" style="1" customWidth="1"/>
    <col min="9990" max="9990" width="24.28515625" style="1" customWidth="1"/>
    <col min="9991" max="10240" width="11.42578125" style="1"/>
    <col min="10241" max="10241" width="15.85546875" style="1" customWidth="1"/>
    <col min="10242" max="10242" width="24.5703125" style="1" customWidth="1"/>
    <col min="10243" max="10243" width="12.85546875" style="1" customWidth="1"/>
    <col min="10244" max="10244" width="11" style="1" customWidth="1"/>
    <col min="10245" max="10245" width="15" style="1" customWidth="1"/>
    <col min="10246" max="10246" width="24.28515625" style="1" customWidth="1"/>
    <col min="10247" max="10496" width="11.42578125" style="1"/>
    <col min="10497" max="10497" width="15.85546875" style="1" customWidth="1"/>
    <col min="10498" max="10498" width="24.5703125" style="1" customWidth="1"/>
    <col min="10499" max="10499" width="12.85546875" style="1" customWidth="1"/>
    <col min="10500" max="10500" width="11" style="1" customWidth="1"/>
    <col min="10501" max="10501" width="15" style="1" customWidth="1"/>
    <col min="10502" max="10502" width="24.28515625" style="1" customWidth="1"/>
    <col min="10503" max="10752" width="11.42578125" style="1"/>
    <col min="10753" max="10753" width="15.85546875" style="1" customWidth="1"/>
    <col min="10754" max="10754" width="24.5703125" style="1" customWidth="1"/>
    <col min="10755" max="10755" width="12.85546875" style="1" customWidth="1"/>
    <col min="10756" max="10756" width="11" style="1" customWidth="1"/>
    <col min="10757" max="10757" width="15" style="1" customWidth="1"/>
    <col min="10758" max="10758" width="24.28515625" style="1" customWidth="1"/>
    <col min="10759" max="11008" width="11.42578125" style="1"/>
    <col min="11009" max="11009" width="15.85546875" style="1" customWidth="1"/>
    <col min="11010" max="11010" width="24.5703125" style="1" customWidth="1"/>
    <col min="11011" max="11011" width="12.85546875" style="1" customWidth="1"/>
    <col min="11012" max="11012" width="11" style="1" customWidth="1"/>
    <col min="11013" max="11013" width="15" style="1" customWidth="1"/>
    <col min="11014" max="11014" width="24.28515625" style="1" customWidth="1"/>
    <col min="11015" max="11264" width="11.42578125" style="1"/>
    <col min="11265" max="11265" width="15.85546875" style="1" customWidth="1"/>
    <col min="11266" max="11266" width="24.5703125" style="1" customWidth="1"/>
    <col min="11267" max="11267" width="12.85546875" style="1" customWidth="1"/>
    <col min="11268" max="11268" width="11" style="1" customWidth="1"/>
    <col min="11269" max="11269" width="15" style="1" customWidth="1"/>
    <col min="11270" max="11270" width="24.28515625" style="1" customWidth="1"/>
    <col min="11271" max="11520" width="11.42578125" style="1"/>
    <col min="11521" max="11521" width="15.85546875" style="1" customWidth="1"/>
    <col min="11522" max="11522" width="24.5703125" style="1" customWidth="1"/>
    <col min="11523" max="11523" width="12.85546875" style="1" customWidth="1"/>
    <col min="11524" max="11524" width="11" style="1" customWidth="1"/>
    <col min="11525" max="11525" width="15" style="1" customWidth="1"/>
    <col min="11526" max="11526" width="24.28515625" style="1" customWidth="1"/>
    <col min="11527" max="11776" width="11.42578125" style="1"/>
    <col min="11777" max="11777" width="15.85546875" style="1" customWidth="1"/>
    <col min="11778" max="11778" width="24.5703125" style="1" customWidth="1"/>
    <col min="11779" max="11779" width="12.85546875" style="1" customWidth="1"/>
    <col min="11780" max="11780" width="11" style="1" customWidth="1"/>
    <col min="11781" max="11781" width="15" style="1" customWidth="1"/>
    <col min="11782" max="11782" width="24.28515625" style="1" customWidth="1"/>
    <col min="11783" max="12032" width="11.42578125" style="1"/>
    <col min="12033" max="12033" width="15.85546875" style="1" customWidth="1"/>
    <col min="12034" max="12034" width="24.5703125" style="1" customWidth="1"/>
    <col min="12035" max="12035" width="12.85546875" style="1" customWidth="1"/>
    <col min="12036" max="12036" width="11" style="1" customWidth="1"/>
    <col min="12037" max="12037" width="15" style="1" customWidth="1"/>
    <col min="12038" max="12038" width="24.28515625" style="1" customWidth="1"/>
    <col min="12039" max="12288" width="11.42578125" style="1"/>
    <col min="12289" max="12289" width="15.85546875" style="1" customWidth="1"/>
    <col min="12290" max="12290" width="24.5703125" style="1" customWidth="1"/>
    <col min="12291" max="12291" width="12.85546875" style="1" customWidth="1"/>
    <col min="12292" max="12292" width="11" style="1" customWidth="1"/>
    <col min="12293" max="12293" width="15" style="1" customWidth="1"/>
    <col min="12294" max="12294" width="24.28515625" style="1" customWidth="1"/>
    <col min="12295" max="12544" width="11.42578125" style="1"/>
    <col min="12545" max="12545" width="15.85546875" style="1" customWidth="1"/>
    <col min="12546" max="12546" width="24.5703125" style="1" customWidth="1"/>
    <col min="12547" max="12547" width="12.85546875" style="1" customWidth="1"/>
    <col min="12548" max="12548" width="11" style="1" customWidth="1"/>
    <col min="12549" max="12549" width="15" style="1" customWidth="1"/>
    <col min="12550" max="12550" width="24.28515625" style="1" customWidth="1"/>
    <col min="12551" max="12800" width="11.42578125" style="1"/>
    <col min="12801" max="12801" width="15.85546875" style="1" customWidth="1"/>
    <col min="12802" max="12802" width="24.5703125" style="1" customWidth="1"/>
    <col min="12803" max="12803" width="12.85546875" style="1" customWidth="1"/>
    <col min="12804" max="12804" width="11" style="1" customWidth="1"/>
    <col min="12805" max="12805" width="15" style="1" customWidth="1"/>
    <col min="12806" max="12806" width="24.28515625" style="1" customWidth="1"/>
    <col min="12807" max="13056" width="11.42578125" style="1"/>
    <col min="13057" max="13057" width="15.85546875" style="1" customWidth="1"/>
    <col min="13058" max="13058" width="24.5703125" style="1" customWidth="1"/>
    <col min="13059" max="13059" width="12.85546875" style="1" customWidth="1"/>
    <col min="13060" max="13060" width="11" style="1" customWidth="1"/>
    <col min="13061" max="13061" width="15" style="1" customWidth="1"/>
    <col min="13062" max="13062" width="24.28515625" style="1" customWidth="1"/>
    <col min="13063" max="13312" width="11.42578125" style="1"/>
    <col min="13313" max="13313" width="15.85546875" style="1" customWidth="1"/>
    <col min="13314" max="13314" width="24.5703125" style="1" customWidth="1"/>
    <col min="13315" max="13315" width="12.85546875" style="1" customWidth="1"/>
    <col min="13316" max="13316" width="11" style="1" customWidth="1"/>
    <col min="13317" max="13317" width="15" style="1" customWidth="1"/>
    <col min="13318" max="13318" width="24.28515625" style="1" customWidth="1"/>
    <col min="13319" max="13568" width="11.42578125" style="1"/>
    <col min="13569" max="13569" width="15.85546875" style="1" customWidth="1"/>
    <col min="13570" max="13570" width="24.5703125" style="1" customWidth="1"/>
    <col min="13571" max="13571" width="12.85546875" style="1" customWidth="1"/>
    <col min="13572" max="13572" width="11" style="1" customWidth="1"/>
    <col min="13573" max="13573" width="15" style="1" customWidth="1"/>
    <col min="13574" max="13574" width="24.28515625" style="1" customWidth="1"/>
    <col min="13575" max="13824" width="11.42578125" style="1"/>
    <col min="13825" max="13825" width="15.85546875" style="1" customWidth="1"/>
    <col min="13826" max="13826" width="24.5703125" style="1" customWidth="1"/>
    <col min="13827" max="13827" width="12.85546875" style="1" customWidth="1"/>
    <col min="13828" max="13828" width="11" style="1" customWidth="1"/>
    <col min="13829" max="13829" width="15" style="1" customWidth="1"/>
    <col min="13830" max="13830" width="24.28515625" style="1" customWidth="1"/>
    <col min="13831" max="14080" width="11.42578125" style="1"/>
    <col min="14081" max="14081" width="15.85546875" style="1" customWidth="1"/>
    <col min="14082" max="14082" width="24.5703125" style="1" customWidth="1"/>
    <col min="14083" max="14083" width="12.85546875" style="1" customWidth="1"/>
    <col min="14084" max="14084" width="11" style="1" customWidth="1"/>
    <col min="14085" max="14085" width="15" style="1" customWidth="1"/>
    <col min="14086" max="14086" width="24.28515625" style="1" customWidth="1"/>
    <col min="14087" max="14336" width="11.42578125" style="1"/>
    <col min="14337" max="14337" width="15.85546875" style="1" customWidth="1"/>
    <col min="14338" max="14338" width="24.5703125" style="1" customWidth="1"/>
    <col min="14339" max="14339" width="12.85546875" style="1" customWidth="1"/>
    <col min="14340" max="14340" width="11" style="1" customWidth="1"/>
    <col min="14341" max="14341" width="15" style="1" customWidth="1"/>
    <col min="14342" max="14342" width="24.28515625" style="1" customWidth="1"/>
    <col min="14343" max="14592" width="11.42578125" style="1"/>
    <col min="14593" max="14593" width="15.85546875" style="1" customWidth="1"/>
    <col min="14594" max="14594" width="24.5703125" style="1" customWidth="1"/>
    <col min="14595" max="14595" width="12.85546875" style="1" customWidth="1"/>
    <col min="14596" max="14596" width="11" style="1" customWidth="1"/>
    <col min="14597" max="14597" width="15" style="1" customWidth="1"/>
    <col min="14598" max="14598" width="24.28515625" style="1" customWidth="1"/>
    <col min="14599" max="14848" width="11.42578125" style="1"/>
    <col min="14849" max="14849" width="15.85546875" style="1" customWidth="1"/>
    <col min="14850" max="14850" width="24.5703125" style="1" customWidth="1"/>
    <col min="14851" max="14851" width="12.85546875" style="1" customWidth="1"/>
    <col min="14852" max="14852" width="11" style="1" customWidth="1"/>
    <col min="14853" max="14853" width="15" style="1" customWidth="1"/>
    <col min="14854" max="14854" width="24.28515625" style="1" customWidth="1"/>
    <col min="14855" max="15104" width="11.42578125" style="1"/>
    <col min="15105" max="15105" width="15.85546875" style="1" customWidth="1"/>
    <col min="15106" max="15106" width="24.5703125" style="1" customWidth="1"/>
    <col min="15107" max="15107" width="12.85546875" style="1" customWidth="1"/>
    <col min="15108" max="15108" width="11" style="1" customWidth="1"/>
    <col min="15109" max="15109" width="15" style="1" customWidth="1"/>
    <col min="15110" max="15110" width="24.28515625" style="1" customWidth="1"/>
    <col min="15111" max="15360" width="11.42578125" style="1"/>
    <col min="15361" max="15361" width="15.85546875" style="1" customWidth="1"/>
    <col min="15362" max="15362" width="24.5703125" style="1" customWidth="1"/>
    <col min="15363" max="15363" width="12.85546875" style="1" customWidth="1"/>
    <col min="15364" max="15364" width="11" style="1" customWidth="1"/>
    <col min="15365" max="15365" width="15" style="1" customWidth="1"/>
    <col min="15366" max="15366" width="24.28515625" style="1" customWidth="1"/>
    <col min="15367" max="15616" width="11.42578125" style="1"/>
    <col min="15617" max="15617" width="15.85546875" style="1" customWidth="1"/>
    <col min="15618" max="15618" width="24.5703125" style="1" customWidth="1"/>
    <col min="15619" max="15619" width="12.85546875" style="1" customWidth="1"/>
    <col min="15620" max="15620" width="11" style="1" customWidth="1"/>
    <col min="15621" max="15621" width="15" style="1" customWidth="1"/>
    <col min="15622" max="15622" width="24.28515625" style="1" customWidth="1"/>
    <col min="15623" max="15872" width="11.42578125" style="1"/>
    <col min="15873" max="15873" width="15.85546875" style="1" customWidth="1"/>
    <col min="15874" max="15874" width="24.5703125" style="1" customWidth="1"/>
    <col min="15875" max="15875" width="12.85546875" style="1" customWidth="1"/>
    <col min="15876" max="15876" width="11" style="1" customWidth="1"/>
    <col min="15877" max="15877" width="15" style="1" customWidth="1"/>
    <col min="15878" max="15878" width="24.28515625" style="1" customWidth="1"/>
    <col min="15879" max="16128" width="11.42578125" style="1"/>
    <col min="16129" max="16129" width="15.85546875" style="1" customWidth="1"/>
    <col min="16130" max="16130" width="24.5703125" style="1" customWidth="1"/>
    <col min="16131" max="16131" width="12.85546875" style="1" customWidth="1"/>
    <col min="16132" max="16132" width="11" style="1" customWidth="1"/>
    <col min="16133" max="16133" width="15" style="1" customWidth="1"/>
    <col min="16134" max="16134" width="24.28515625" style="1" customWidth="1"/>
    <col min="16135" max="16384" width="11.42578125" style="1"/>
  </cols>
  <sheetData>
    <row r="1" spans="1:7" ht="15" x14ac:dyDescent="0.2">
      <c r="A1" s="356" t="s">
        <v>301</v>
      </c>
    </row>
    <row r="3" spans="1:7" ht="15" x14ac:dyDescent="0.2">
      <c r="A3" s="356" t="s">
        <v>302</v>
      </c>
    </row>
    <row r="5" spans="1:7" x14ac:dyDescent="0.2">
      <c r="A5" s="168" t="s">
        <v>303</v>
      </c>
      <c r="B5" s="168" t="s">
        <v>304</v>
      </c>
      <c r="C5" s="168" t="s">
        <v>305</v>
      </c>
      <c r="D5" s="168" t="s">
        <v>306</v>
      </c>
      <c r="E5" s="168" t="s">
        <v>307</v>
      </c>
      <c r="F5" s="168" t="s">
        <v>308</v>
      </c>
      <c r="G5" s="95"/>
    </row>
    <row r="6" spans="1:7" x14ac:dyDescent="0.2">
      <c r="A6" s="322"/>
      <c r="B6" s="322" t="s">
        <v>309</v>
      </c>
      <c r="C6" s="322" t="s">
        <v>310</v>
      </c>
      <c r="D6" s="322" t="s">
        <v>311</v>
      </c>
      <c r="E6" s="322" t="s">
        <v>312</v>
      </c>
      <c r="F6" s="322" t="s">
        <v>313</v>
      </c>
      <c r="G6" s="95"/>
    </row>
    <row r="7" spans="1:7" x14ac:dyDescent="0.2">
      <c r="A7" s="169"/>
      <c r="B7" s="99" t="s">
        <v>314</v>
      </c>
      <c r="C7" s="169"/>
      <c r="D7" s="169" t="s">
        <v>315</v>
      </c>
      <c r="E7" s="169" t="s">
        <v>316</v>
      </c>
      <c r="F7" s="169" t="s">
        <v>317</v>
      </c>
      <c r="G7" s="95"/>
    </row>
    <row r="8" spans="1:7" x14ac:dyDescent="0.2">
      <c r="A8" s="95"/>
      <c r="B8" s="95"/>
      <c r="C8" s="95"/>
      <c r="D8" s="95"/>
      <c r="E8" s="95"/>
      <c r="F8" s="95"/>
      <c r="G8" s="95"/>
    </row>
    <row r="9" spans="1:7" x14ac:dyDescent="0.2">
      <c r="A9" s="139">
        <v>3</v>
      </c>
      <c r="B9" s="224">
        <v>145</v>
      </c>
      <c r="C9" s="141">
        <f>(A9*B9)</f>
        <v>435</v>
      </c>
      <c r="D9" s="224">
        <v>5</v>
      </c>
      <c r="E9" s="141">
        <f>(C9*D9)</f>
        <v>2175</v>
      </c>
      <c r="F9" s="308">
        <f>(E9/1900)</f>
        <v>1.1447368421052631</v>
      </c>
      <c r="G9" s="95"/>
    </row>
    <row r="10" spans="1:7" ht="13.5" thickBot="1" x14ac:dyDescent="0.25">
      <c r="A10" s="367"/>
      <c r="B10" s="367"/>
      <c r="C10" s="367"/>
      <c r="D10" s="367"/>
      <c r="E10" s="367"/>
      <c r="F10" s="367"/>
      <c r="G10" s="95"/>
    </row>
  </sheetData>
  <pageMargins left="0.75" right="0.75" top="1" bottom="1" header="0" footer="0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4"/>
  <sheetViews>
    <sheetView workbookViewId="0">
      <selection activeCell="C18" sqref="C18"/>
    </sheetView>
  </sheetViews>
  <sheetFormatPr baseColWidth="10" defaultRowHeight="12.75" x14ac:dyDescent="0.2"/>
  <cols>
    <col min="1" max="1" width="28.28515625" style="1" customWidth="1"/>
    <col min="2" max="256" width="11.42578125" style="1"/>
    <col min="257" max="257" width="28.28515625" style="1" customWidth="1"/>
    <col min="258" max="512" width="11.42578125" style="1"/>
    <col min="513" max="513" width="28.28515625" style="1" customWidth="1"/>
    <col min="514" max="768" width="11.42578125" style="1"/>
    <col min="769" max="769" width="28.28515625" style="1" customWidth="1"/>
    <col min="770" max="1024" width="11.42578125" style="1"/>
    <col min="1025" max="1025" width="28.28515625" style="1" customWidth="1"/>
    <col min="1026" max="1280" width="11.42578125" style="1"/>
    <col min="1281" max="1281" width="28.28515625" style="1" customWidth="1"/>
    <col min="1282" max="1536" width="11.42578125" style="1"/>
    <col min="1537" max="1537" width="28.28515625" style="1" customWidth="1"/>
    <col min="1538" max="1792" width="11.42578125" style="1"/>
    <col min="1793" max="1793" width="28.28515625" style="1" customWidth="1"/>
    <col min="1794" max="2048" width="11.42578125" style="1"/>
    <col min="2049" max="2049" width="28.28515625" style="1" customWidth="1"/>
    <col min="2050" max="2304" width="11.42578125" style="1"/>
    <col min="2305" max="2305" width="28.28515625" style="1" customWidth="1"/>
    <col min="2306" max="2560" width="11.42578125" style="1"/>
    <col min="2561" max="2561" width="28.28515625" style="1" customWidth="1"/>
    <col min="2562" max="2816" width="11.42578125" style="1"/>
    <col min="2817" max="2817" width="28.28515625" style="1" customWidth="1"/>
    <col min="2818" max="3072" width="11.42578125" style="1"/>
    <col min="3073" max="3073" width="28.28515625" style="1" customWidth="1"/>
    <col min="3074" max="3328" width="11.42578125" style="1"/>
    <col min="3329" max="3329" width="28.28515625" style="1" customWidth="1"/>
    <col min="3330" max="3584" width="11.42578125" style="1"/>
    <col min="3585" max="3585" width="28.28515625" style="1" customWidth="1"/>
    <col min="3586" max="3840" width="11.42578125" style="1"/>
    <col min="3841" max="3841" width="28.28515625" style="1" customWidth="1"/>
    <col min="3842" max="4096" width="11.42578125" style="1"/>
    <col min="4097" max="4097" width="28.28515625" style="1" customWidth="1"/>
    <col min="4098" max="4352" width="11.42578125" style="1"/>
    <col min="4353" max="4353" width="28.28515625" style="1" customWidth="1"/>
    <col min="4354" max="4608" width="11.42578125" style="1"/>
    <col min="4609" max="4609" width="28.28515625" style="1" customWidth="1"/>
    <col min="4610" max="4864" width="11.42578125" style="1"/>
    <col min="4865" max="4865" width="28.28515625" style="1" customWidth="1"/>
    <col min="4866" max="5120" width="11.42578125" style="1"/>
    <col min="5121" max="5121" width="28.28515625" style="1" customWidth="1"/>
    <col min="5122" max="5376" width="11.42578125" style="1"/>
    <col min="5377" max="5377" width="28.28515625" style="1" customWidth="1"/>
    <col min="5378" max="5632" width="11.42578125" style="1"/>
    <col min="5633" max="5633" width="28.28515625" style="1" customWidth="1"/>
    <col min="5634" max="5888" width="11.42578125" style="1"/>
    <col min="5889" max="5889" width="28.28515625" style="1" customWidth="1"/>
    <col min="5890" max="6144" width="11.42578125" style="1"/>
    <col min="6145" max="6145" width="28.28515625" style="1" customWidth="1"/>
    <col min="6146" max="6400" width="11.42578125" style="1"/>
    <col min="6401" max="6401" width="28.28515625" style="1" customWidth="1"/>
    <col min="6402" max="6656" width="11.42578125" style="1"/>
    <col min="6657" max="6657" width="28.28515625" style="1" customWidth="1"/>
    <col min="6658" max="6912" width="11.42578125" style="1"/>
    <col min="6913" max="6913" width="28.28515625" style="1" customWidth="1"/>
    <col min="6914" max="7168" width="11.42578125" style="1"/>
    <col min="7169" max="7169" width="28.28515625" style="1" customWidth="1"/>
    <col min="7170" max="7424" width="11.42578125" style="1"/>
    <col min="7425" max="7425" width="28.28515625" style="1" customWidth="1"/>
    <col min="7426" max="7680" width="11.42578125" style="1"/>
    <col min="7681" max="7681" width="28.28515625" style="1" customWidth="1"/>
    <col min="7682" max="7936" width="11.42578125" style="1"/>
    <col min="7937" max="7937" width="28.28515625" style="1" customWidth="1"/>
    <col min="7938" max="8192" width="11.42578125" style="1"/>
    <col min="8193" max="8193" width="28.28515625" style="1" customWidth="1"/>
    <col min="8194" max="8448" width="11.42578125" style="1"/>
    <col min="8449" max="8449" width="28.28515625" style="1" customWidth="1"/>
    <col min="8450" max="8704" width="11.42578125" style="1"/>
    <col min="8705" max="8705" width="28.28515625" style="1" customWidth="1"/>
    <col min="8706" max="8960" width="11.42578125" style="1"/>
    <col min="8961" max="8961" width="28.28515625" style="1" customWidth="1"/>
    <col min="8962" max="9216" width="11.42578125" style="1"/>
    <col min="9217" max="9217" width="28.28515625" style="1" customWidth="1"/>
    <col min="9218" max="9472" width="11.42578125" style="1"/>
    <col min="9473" max="9473" width="28.28515625" style="1" customWidth="1"/>
    <col min="9474" max="9728" width="11.42578125" style="1"/>
    <col min="9729" max="9729" width="28.28515625" style="1" customWidth="1"/>
    <col min="9730" max="9984" width="11.42578125" style="1"/>
    <col min="9985" max="9985" width="28.28515625" style="1" customWidth="1"/>
    <col min="9986" max="10240" width="11.42578125" style="1"/>
    <col min="10241" max="10241" width="28.28515625" style="1" customWidth="1"/>
    <col min="10242" max="10496" width="11.42578125" style="1"/>
    <col min="10497" max="10497" width="28.28515625" style="1" customWidth="1"/>
    <col min="10498" max="10752" width="11.42578125" style="1"/>
    <col min="10753" max="10753" width="28.28515625" style="1" customWidth="1"/>
    <col min="10754" max="11008" width="11.42578125" style="1"/>
    <col min="11009" max="11009" width="28.28515625" style="1" customWidth="1"/>
    <col min="11010" max="11264" width="11.42578125" style="1"/>
    <col min="11265" max="11265" width="28.28515625" style="1" customWidth="1"/>
    <col min="11266" max="11520" width="11.42578125" style="1"/>
    <col min="11521" max="11521" width="28.28515625" style="1" customWidth="1"/>
    <col min="11522" max="11776" width="11.42578125" style="1"/>
    <col min="11777" max="11777" width="28.28515625" style="1" customWidth="1"/>
    <col min="11778" max="12032" width="11.42578125" style="1"/>
    <col min="12033" max="12033" width="28.28515625" style="1" customWidth="1"/>
    <col min="12034" max="12288" width="11.42578125" style="1"/>
    <col min="12289" max="12289" width="28.28515625" style="1" customWidth="1"/>
    <col min="12290" max="12544" width="11.42578125" style="1"/>
    <col min="12545" max="12545" width="28.28515625" style="1" customWidth="1"/>
    <col min="12546" max="12800" width="11.42578125" style="1"/>
    <col min="12801" max="12801" width="28.28515625" style="1" customWidth="1"/>
    <col min="12802" max="13056" width="11.42578125" style="1"/>
    <col min="13057" max="13057" width="28.28515625" style="1" customWidth="1"/>
    <col min="13058" max="13312" width="11.42578125" style="1"/>
    <col min="13313" max="13313" width="28.28515625" style="1" customWidth="1"/>
    <col min="13314" max="13568" width="11.42578125" style="1"/>
    <col min="13569" max="13569" width="28.28515625" style="1" customWidth="1"/>
    <col min="13570" max="13824" width="11.42578125" style="1"/>
    <col min="13825" max="13825" width="28.28515625" style="1" customWidth="1"/>
    <col min="13826" max="14080" width="11.42578125" style="1"/>
    <col min="14081" max="14081" width="28.28515625" style="1" customWidth="1"/>
    <col min="14082" max="14336" width="11.42578125" style="1"/>
    <col min="14337" max="14337" width="28.28515625" style="1" customWidth="1"/>
    <col min="14338" max="14592" width="11.42578125" style="1"/>
    <col min="14593" max="14593" width="28.28515625" style="1" customWidth="1"/>
    <col min="14594" max="14848" width="11.42578125" style="1"/>
    <col min="14849" max="14849" width="28.28515625" style="1" customWidth="1"/>
    <col min="14850" max="15104" width="11.42578125" style="1"/>
    <col min="15105" max="15105" width="28.28515625" style="1" customWidth="1"/>
    <col min="15106" max="15360" width="11.42578125" style="1"/>
    <col min="15361" max="15361" width="28.28515625" style="1" customWidth="1"/>
    <col min="15362" max="15616" width="11.42578125" style="1"/>
    <col min="15617" max="15617" width="28.28515625" style="1" customWidth="1"/>
    <col min="15618" max="15872" width="11.42578125" style="1"/>
    <col min="15873" max="15873" width="28.28515625" style="1" customWidth="1"/>
    <col min="15874" max="16128" width="11.42578125" style="1"/>
    <col min="16129" max="16129" width="28.28515625" style="1" customWidth="1"/>
    <col min="16130" max="16384" width="11.42578125" style="1"/>
  </cols>
  <sheetData>
    <row r="1" spans="1:5" ht="15" x14ac:dyDescent="0.2">
      <c r="A1" s="356" t="s">
        <v>263</v>
      </c>
    </row>
    <row r="2" spans="1:5" ht="15" x14ac:dyDescent="0.2">
      <c r="A2" s="356"/>
    </row>
    <row r="3" spans="1:5" x14ac:dyDescent="0.2">
      <c r="A3" s="358" t="s">
        <v>298</v>
      </c>
      <c r="B3" s="358"/>
      <c r="C3" s="358"/>
      <c r="D3" s="358"/>
      <c r="E3" s="358"/>
    </row>
    <row r="5" spans="1:5" x14ac:dyDescent="0.2">
      <c r="A5" s="89" t="s">
        <v>246</v>
      </c>
      <c r="B5" s="89" t="s">
        <v>265</v>
      </c>
      <c r="C5" s="89" t="s">
        <v>266</v>
      </c>
      <c r="D5" s="97" t="s">
        <v>233</v>
      </c>
    </row>
    <row r="6" spans="1:5" x14ac:dyDescent="0.2">
      <c r="A6" s="99"/>
      <c r="B6" s="99" t="s">
        <v>299</v>
      </c>
      <c r="C6" s="99" t="s">
        <v>268</v>
      </c>
      <c r="D6" s="100"/>
    </row>
    <row r="7" spans="1:5" x14ac:dyDescent="0.2">
      <c r="A7" s="129" t="s">
        <v>288</v>
      </c>
      <c r="B7" s="189"/>
      <c r="C7" s="189"/>
      <c r="D7" s="189"/>
    </row>
    <row r="8" spans="1:5" x14ac:dyDescent="0.2">
      <c r="A8" s="173" t="s">
        <v>289</v>
      </c>
      <c r="B8" s="111"/>
      <c r="C8" s="114">
        <v>4</v>
      </c>
      <c r="D8" s="364">
        <f>(B8*C8)</f>
        <v>0</v>
      </c>
    </row>
    <row r="9" spans="1:5" x14ac:dyDescent="0.2">
      <c r="A9" s="129" t="s">
        <v>273</v>
      </c>
      <c r="B9" s="174"/>
      <c r="C9" s="151"/>
      <c r="D9" s="365"/>
    </row>
    <row r="10" spans="1:5" x14ac:dyDescent="0.2">
      <c r="A10" s="173" t="s">
        <v>300</v>
      </c>
      <c r="B10" s="111"/>
      <c r="C10" s="114">
        <v>1</v>
      </c>
      <c r="D10" s="364">
        <f>(B10*C10)</f>
        <v>0</v>
      </c>
    </row>
    <row r="11" spans="1:5" x14ac:dyDescent="0.2">
      <c r="A11" s="173" t="s">
        <v>277</v>
      </c>
      <c r="B11" s="111"/>
      <c r="C11" s="114">
        <v>3.3000000000000002E-2</v>
      </c>
      <c r="D11" s="164">
        <f>(B11*C11)</f>
        <v>0</v>
      </c>
    </row>
    <row r="12" spans="1:5" x14ac:dyDescent="0.2">
      <c r="A12" s="129" t="s">
        <v>281</v>
      </c>
      <c r="B12" s="174"/>
      <c r="C12" s="151"/>
      <c r="D12" s="365"/>
    </row>
    <row r="13" spans="1:5" x14ac:dyDescent="0.2">
      <c r="A13" s="173" t="s">
        <v>282</v>
      </c>
      <c r="B13" s="111"/>
      <c r="C13" s="114">
        <v>2.8</v>
      </c>
      <c r="D13" s="364">
        <f>(B13*C13)</f>
        <v>0</v>
      </c>
    </row>
    <row r="14" spans="1:5" x14ac:dyDescent="0.2">
      <c r="A14" s="173" t="s">
        <v>283</v>
      </c>
      <c r="B14" s="111"/>
      <c r="C14" s="114">
        <v>1</v>
      </c>
      <c r="D14" s="364">
        <f>(B14*C14)</f>
        <v>0</v>
      </c>
    </row>
  </sheetData>
  <pageMargins left="0.75" right="0.75" top="1" bottom="1" header="0" footer="0"/>
  <pageSetup paperSize="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1</vt:i4>
      </vt:variant>
    </vt:vector>
  </HeadingPairs>
  <TitlesOfParts>
    <vt:vector size="20" baseType="lpstr">
      <vt:lpstr>Total Materiales</vt:lpstr>
      <vt:lpstr>Materiales y Materias Primas</vt:lpstr>
      <vt:lpstr>Hoja1</vt:lpstr>
      <vt:lpstr>Mano de Obra</vt:lpstr>
      <vt:lpstr>Muros</vt:lpstr>
      <vt:lpstr>Revestimientos</vt:lpstr>
      <vt:lpstr>Enchapes</vt:lpstr>
      <vt:lpstr>Cubiertas</vt:lpstr>
      <vt:lpstr>Pisos</vt:lpstr>
      <vt:lpstr>Pinturas</vt:lpstr>
      <vt:lpstr>Estructural</vt:lpstr>
      <vt:lpstr>H.Ciclopeo</vt:lpstr>
      <vt:lpstr>Encofrados</vt:lpstr>
      <vt:lpstr>Electricidad</vt:lpstr>
      <vt:lpstr>Baño 1er Nivel</vt:lpstr>
      <vt:lpstr>Baño 2do Nivel</vt:lpstr>
      <vt:lpstr>Cocina 1er Nivel</vt:lpstr>
      <vt:lpstr>Tanque Agua</vt:lpstr>
      <vt:lpstr>Cocina 2do Nivel</vt:lpstr>
      <vt:lpstr>'Materiales y Materias Primas'!Área_de_impresión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García Deroncele</dc:creator>
  <cp:lastModifiedBy>Arq.Ronald</cp:lastModifiedBy>
  <dcterms:created xsi:type="dcterms:W3CDTF">2025-04-12T02:40:01Z</dcterms:created>
  <dcterms:modified xsi:type="dcterms:W3CDTF">2026-09-10T21:03:32Z</dcterms:modified>
</cp:coreProperties>
</file>